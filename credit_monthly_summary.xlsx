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0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DETIAL#3444'!$A$1:$P$44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17"/>
  <sheetViews>
    <sheetView tabSelected="1" workbookViewId="0">
      <selection activeCell="B3" sqref="B3"/>
    </sheetView>
  </sheetViews>
  <sheetFormatPr baseColWidth="8" defaultRowHeight="15"/>
  <cols>
    <col width="10.5703125" bestFit="1" customWidth="1" min="1" max="1"/>
    <col width="8.140625" bestFit="1" customWidth="1" min="2" max="2"/>
    <col width="5" bestFit="1" customWidth="1" min="3" max="3"/>
    <col width="8.140625" bestFit="1" customWidth="1" min="4" max="4"/>
    <col width="5" bestFit="1" customWidth="1" min="5" max="8"/>
    <col width="7.140625" bestFit="1" customWidth="1" min="9" max="10"/>
    <col width="8.140625" bestFit="1" customWidth="1" min="11" max="12"/>
    <col width="6" bestFit="1" customWidth="1" min="13" max="15"/>
    <col width="7.140625" bestFit="1" customWidth="1" min="16" max="17"/>
    <col width="6" bestFit="1" customWidth="1" min="18" max="18"/>
    <col width="8.140625" bestFit="1" customWidth="1" min="19" max="19"/>
    <col width="7.140625" bestFit="1" customWidth="1" min="20" max="23"/>
    <col width="6" bestFit="1" customWidth="1" min="24" max="25"/>
    <col width="7.140625" bestFit="1" customWidth="1" min="26" max="26"/>
    <col width="6" bestFit="1" customWidth="1" min="27" max="28"/>
    <col width="7.140625" bestFit="1" customWidth="1" min="29" max="29"/>
    <col width="6" bestFit="1" customWidth="1" min="30" max="30"/>
    <col width="6" bestFit="1" customWidth="1" min="31" max="31"/>
    <col width="6" bestFit="1" customWidth="1" min="32" max="32"/>
    <col width="6" bestFit="1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</cols>
  <sheetData>
    <row r="1" ht="24" customHeight="1">
      <c r="A1" s="10" t="inlineStr">
        <is>
          <t>CHASE #3444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2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2" t="n"/>
    </row>
    <row r="2" ht="24" customHeight="1">
      <c r="A2" s="10" t="inlineStr">
        <is>
          <t>Month</t>
        </is>
      </c>
      <c r="B2" s="10" t="inlineStr">
        <is>
          <t>Begin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inlineStr">
        <is>
          <t>NO1 SUSHI 88 CORKBBO ACH</t>
        </is>
      </c>
      <c r="AF2" s="10" t="inlineStr">
        <is>
          <t>INTERNET TRF TO CLIENT-ADDED TRANSFER ACCOUNT</t>
        </is>
      </c>
      <c r="AG2" s="10" t="inlineStr">
        <is>
          <t>BILL PAY:VEOLIA WATER NEW Y 200045 6BU1T6KR</t>
        </is>
      </c>
      <c r="AH2" s="10" t="inlineStr">
        <is>
          <t>BILL PAY:ORANGE &amp; ROCKLAND 136130 6BQ1P6KR</t>
        </is>
      </c>
      <c r="AI2" s="10" t="inlineStr">
        <is>
          <t>WITHDRAWAL BRANCH 0964 NEW YORK</t>
        </is>
      </c>
      <c r="AJ2" s="10" t="inlineStr">
        <is>
          <t>POS MAC AMAZON.COM*NX6 SEATTLE WA</t>
        </is>
      </c>
      <c r="AK2" s="10" t="inlineStr">
        <is>
          <t>POS MAC AMAZON.COM*9O5 SEATTLE WA</t>
        </is>
      </c>
      <c r="AL2" s="10" t="inlineStr">
        <is>
          <t>POS MAC AMAZON.COM*SB8 SEATTLE WA</t>
        </is>
      </c>
      <c r="AM2" s="10" t="inlineStr">
        <is>
          <t>NYS DTF PIT TAX PAYMNT</t>
        </is>
      </c>
      <c r="AN2" s="10" t="inlineStr">
        <is>
          <t>KINDERCARE PORTLAND OR</t>
        </is>
      </c>
      <c r="AO2" s="10" t="inlineStr">
        <is>
          <t>AMAZON PRIME*ZH8618UZ3 AMZN.COM/BILL WA</t>
        </is>
      </c>
      <c r="AP2" s="10" t="inlineStr">
        <is>
          <t>IRS USATAXPYMT</t>
        </is>
      </c>
      <c r="AQ2" s="10" t="inlineStr">
        <is>
          <t>CREDIT ONE BANK PAYMENT</t>
        </is>
      </c>
      <c r="AR2" s="10" t="inlineStr">
        <is>
          <t>PROG CASUALTY INS PREM</t>
        </is>
      </c>
      <c r="AS2" s="10" t="inlineStr">
        <is>
          <t>CITI CARD ONLINEPAYMENT</t>
        </is>
      </c>
      <c r="AT2" s="10" t="inlineStr">
        <is>
          <t>AMAZON.COMSEATTLEWA US</t>
        </is>
      </c>
      <c r="AU2" s="10" t="inlineStr">
        <is>
          <t>POS MAC AMAZON.COM*TN0 SEATTLE WA</t>
        </is>
      </c>
      <c r="AV2" s="10" t="inlineStr">
        <is>
          <t>POS MAC AMAZON.COM*MZ5 SEATTLE WA</t>
        </is>
      </c>
      <c r="AW2" s="10" t="inlineStr">
        <is>
          <t>POS MAC AMAZON.COM*GE2 SEATTLE WA</t>
        </is>
      </c>
      <c r="AX2" s="10" t="inlineStr">
        <is>
          <t>POS MAC AMAZON.COM*V25 SEATTLE WA</t>
        </is>
      </c>
      <c r="AY2" s="10" t="inlineStr">
        <is>
          <t>POS MAC AMAZON.COM*ZA2 SEATTLE WA</t>
        </is>
      </c>
      <c r="AZ2" s="10" t="inlineStr">
        <is>
          <t>POS MAC AMAZON.COM*AU5 SEATTLE WA</t>
        </is>
      </c>
      <c r="BA2" s="10" t="inlineStr">
        <is>
          <t>POS MAC AMAZON.COM*BQ9 SEATTLE WA</t>
        </is>
      </c>
      <c r="BB2" s="10" t="inlineStr">
        <is>
          <t>TOTAL</t>
        </is>
      </c>
      <c r="BC2" s="10" t="inlineStr">
        <is>
          <t>DEBIT</t>
        </is>
      </c>
      <c r="BD2" s="10" t="inlineStr">
        <is>
          <t>ENDING</t>
        </is>
      </c>
    </row>
    <row r="3">
      <c r="A3" s="5" t="n">
        <v>45383</v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>
        <f>4000.00</f>
        <v/>
      </c>
      <c r="AF3" s="2">
        <f>385.77+740.00</f>
        <v/>
      </c>
      <c r="AG3" s="2">
        <f>300.00</f>
        <v/>
      </c>
      <c r="AH3" s="2">
        <f>350.00</f>
        <v/>
      </c>
      <c r="AI3" s="2">
        <f>1000.00+3200.00</f>
        <v/>
      </c>
      <c r="AJ3" s="2">
        <f>75.40</f>
        <v/>
      </c>
      <c r="AK3" s="2">
        <f>26.57</f>
        <v/>
      </c>
      <c r="AL3" s="2">
        <f>18.75</f>
        <v/>
      </c>
      <c r="AM3" s="2">
        <f>200.00+200.00</f>
        <v/>
      </c>
      <c r="AN3" s="2">
        <f>490.00+120.00</f>
        <v/>
      </c>
      <c r="AO3" s="2">
        <f>16.25</f>
        <v/>
      </c>
      <c r="AP3" s="2">
        <f>800.00+800.00</f>
        <v/>
      </c>
      <c r="AQ3" s="2">
        <f>817.29</f>
        <v/>
      </c>
      <c r="AR3" s="2">
        <f>930.52</f>
        <v/>
      </c>
      <c r="AS3" s="2">
        <f>975.00+364.75+1400.00</f>
        <v/>
      </c>
      <c r="AT3" s="2">
        <f>117.76</f>
        <v/>
      </c>
      <c r="AU3" s="2">
        <f>50.03</f>
        <v/>
      </c>
      <c r="AV3" s="2">
        <f>71.79</f>
        <v/>
      </c>
      <c r="AW3" s="2">
        <f>152.14</f>
        <v/>
      </c>
      <c r="AX3" s="2">
        <f>20.80</f>
        <v/>
      </c>
      <c r="AY3" s="2">
        <f>40.33</f>
        <v/>
      </c>
      <c r="AZ3" s="2">
        <f>343.93</f>
        <v/>
      </c>
      <c r="BA3" s="2">
        <f>17.59</f>
        <v/>
      </c>
      <c r="BB3" s="2">
        <f>SUM(C3:BA3)</f>
        <v/>
      </c>
      <c r="BC3" s="2" t="n"/>
      <c r="BD3" s="2">
        <f>B3+BB3-BC3</f>
        <v/>
      </c>
    </row>
    <row r="4">
      <c r="A4" s="5" t="n">
        <v>45413</v>
      </c>
      <c r="B4" s="2">
        <f>AG3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>
        <f>SUM(C4:BA4)</f>
        <v/>
      </c>
      <c r="BC4" s="2" t="n"/>
      <c r="BD4" s="2">
        <f>B4+BB4-BC4</f>
        <v/>
      </c>
    </row>
    <row r="5">
      <c r="A5" s="5" t="n">
        <v>45444</v>
      </c>
      <c r="B5" s="2">
        <f>AG4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>
        <f>4000.00</f>
        <v/>
      </c>
      <c r="AF5" s="2">
        <f>385.77+740.00</f>
        <v/>
      </c>
      <c r="AG5" s="2">
        <f>300.00</f>
        <v/>
      </c>
      <c r="AH5" s="2">
        <f>350.00</f>
        <v/>
      </c>
      <c r="AI5" s="2">
        <f>1000.00+3200.00</f>
        <v/>
      </c>
      <c r="AJ5" s="2">
        <f>75.40</f>
        <v/>
      </c>
      <c r="AK5" s="2">
        <f>26.57</f>
        <v/>
      </c>
      <c r="AL5" s="2">
        <f>18.75</f>
        <v/>
      </c>
      <c r="AM5" s="2">
        <f>200.00+200.00</f>
        <v/>
      </c>
      <c r="AN5" s="2">
        <f>490.00+120.00</f>
        <v/>
      </c>
      <c r="AO5" s="2">
        <f>16.25</f>
        <v/>
      </c>
      <c r="AP5" s="2">
        <f>800.00+800.00</f>
        <v/>
      </c>
      <c r="AQ5" s="2">
        <f>817.29</f>
        <v/>
      </c>
      <c r="AR5" s="2">
        <f>930.52</f>
        <v/>
      </c>
      <c r="AS5" s="2">
        <f>975.00+364.75+1400.00</f>
        <v/>
      </c>
      <c r="AT5" s="2">
        <f>117.76</f>
        <v/>
      </c>
      <c r="AU5" s="2">
        <f>50.03</f>
        <v/>
      </c>
      <c r="AV5" s="2">
        <f>71.79</f>
        <v/>
      </c>
      <c r="AW5" s="2">
        <f>152.14</f>
        <v/>
      </c>
      <c r="AX5" s="2">
        <f>20.80</f>
        <v/>
      </c>
      <c r="AY5" s="2">
        <f>40.33</f>
        <v/>
      </c>
      <c r="AZ5" s="2">
        <f>343.93</f>
        <v/>
      </c>
      <c r="BA5" s="2">
        <f>17.59</f>
        <v/>
      </c>
      <c r="BB5" s="2">
        <f>SUM(C5:BA5)</f>
        <v/>
      </c>
      <c r="BC5" s="2" t="n"/>
      <c r="BD5" s="2">
        <f>B5+BB5-BC5</f>
        <v/>
      </c>
    </row>
    <row r="6">
      <c r="A6" s="5" t="n">
        <v>45474</v>
      </c>
      <c r="B6" s="2">
        <f>AG5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>
        <f>SUM(C6:BA6)</f>
        <v/>
      </c>
      <c r="BC6" s="2" t="n"/>
      <c r="BD6" s="2">
        <f>B6+BB6-BC6</f>
        <v/>
      </c>
    </row>
    <row r="7">
      <c r="A7" s="5" t="n">
        <v>45505</v>
      </c>
      <c r="B7" s="2">
        <f>AG6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>
        <f>SUM(C7:BA7)</f>
        <v/>
      </c>
      <c r="BC7" s="2" t="n"/>
      <c r="BD7" s="2">
        <f>B7+BB7-BC7</f>
        <v/>
      </c>
    </row>
    <row r="8">
      <c r="A8" s="5" t="n">
        <v>45536</v>
      </c>
      <c r="B8" s="2">
        <f>AG7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>
        <f>4000.00</f>
        <v/>
      </c>
      <c r="AF8" s="2">
        <f>385.77+740.00</f>
        <v/>
      </c>
      <c r="AG8" s="2">
        <f>300.00</f>
        <v/>
      </c>
      <c r="AH8" s="2">
        <f>350.00</f>
        <v/>
      </c>
      <c r="AI8" s="2">
        <f>1000.00+3200.00</f>
        <v/>
      </c>
      <c r="AJ8" s="2">
        <f>75.40</f>
        <v/>
      </c>
      <c r="AK8" s="2">
        <f>26.57</f>
        <v/>
      </c>
      <c r="AL8" s="2">
        <f>18.75</f>
        <v/>
      </c>
      <c r="AM8" s="2">
        <f>200.00+200.00</f>
        <v/>
      </c>
      <c r="AN8" s="2">
        <f>490.00+120.00</f>
        <v/>
      </c>
      <c r="AO8" s="2">
        <f>16.25</f>
        <v/>
      </c>
      <c r="AP8" s="2">
        <f>800.00+800.00</f>
        <v/>
      </c>
      <c r="AQ8" s="2">
        <f>817.29</f>
        <v/>
      </c>
      <c r="AR8" s="2">
        <f>930.52</f>
        <v/>
      </c>
      <c r="AS8" s="2">
        <f>975.00+364.75+1400.00</f>
        <v/>
      </c>
      <c r="AT8" s="2">
        <f>117.76</f>
        <v/>
      </c>
      <c r="AU8" s="2">
        <f>50.03</f>
        <v/>
      </c>
      <c r="AV8" s="2">
        <f>71.79</f>
        <v/>
      </c>
      <c r="AW8" s="2">
        <f>152.14</f>
        <v/>
      </c>
      <c r="AX8" s="2">
        <f>20.80</f>
        <v/>
      </c>
      <c r="AY8" s="2">
        <f>40.33</f>
        <v/>
      </c>
      <c r="AZ8" s="2">
        <f>343.93</f>
        <v/>
      </c>
      <c r="BA8" s="2">
        <f>17.59</f>
        <v/>
      </c>
      <c r="BB8" s="2">
        <f>SUM(C8:BA8)</f>
        <v/>
      </c>
      <c r="BC8" s="2" t="n"/>
      <c r="BD8" s="2">
        <f>B8+BB8-BC8</f>
        <v/>
      </c>
    </row>
    <row r="9">
      <c r="A9" s="5" t="n">
        <v>45566</v>
      </c>
      <c r="B9" s="2">
        <f>AG8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>
        <f>SUM(C9:BA9)</f>
        <v/>
      </c>
      <c r="BC9" s="2" t="n"/>
      <c r="BD9" s="2">
        <f>B9+BB9-BC9</f>
        <v/>
      </c>
    </row>
    <row r="10">
      <c r="A10" s="5" t="n">
        <v>45597</v>
      </c>
      <c r="B10" s="2">
        <f>AG9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>
        <f>SUM(C10:BA10)</f>
        <v/>
      </c>
      <c r="BC10" s="2" t="n"/>
      <c r="BD10" s="2">
        <f>B10+BB10-BC10</f>
        <v/>
      </c>
    </row>
    <row r="11">
      <c r="A11" s="5" t="n">
        <v>45627</v>
      </c>
      <c r="B11" s="2">
        <f>AG10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>
        <f>SUM(C11:BA11)</f>
        <v/>
      </c>
      <c r="BC11" s="2" t="n"/>
      <c r="BD11" s="2">
        <f>B11+BB11-BC11</f>
        <v/>
      </c>
    </row>
    <row r="12">
      <c r="A12" s="5" t="n">
        <v>45658</v>
      </c>
      <c r="B12" s="2">
        <f>AG11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>
        <f>SUM(C12:BA12)</f>
        <v/>
      </c>
      <c r="BC12" s="2" t="n"/>
      <c r="BD12" s="2">
        <f>B12+BB12-BC12</f>
        <v/>
      </c>
    </row>
    <row r="13">
      <c r="A13" s="5" t="n">
        <v>45689</v>
      </c>
      <c r="B13" s="2">
        <f>AG12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>
        <f>SUM(C13:BA13)</f>
        <v/>
      </c>
      <c r="BC13" s="2" t="n"/>
      <c r="BD13" s="2">
        <f>B13+BB13-BC13</f>
        <v/>
      </c>
    </row>
    <row r="14">
      <c r="A14" s="5" t="n">
        <v>45717</v>
      </c>
      <c r="B14" s="2">
        <f>AG13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>
        <f>SUM(C14:BA14)</f>
        <v/>
      </c>
      <c r="BC14" s="2" t="n"/>
      <c r="BD14" s="2">
        <f>B14+BB14-BC14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SUM(S3:S14)</f>
        <v/>
      </c>
      <c r="T15" s="2">
        <f>SUM(T3:T14)</f>
        <v/>
      </c>
      <c r="U15" s="2">
        <f>SUM(U3:U14)</f>
        <v/>
      </c>
      <c r="V15" s="2">
        <f>SUM(V3:V14)</f>
        <v/>
      </c>
      <c r="W15" s="2">
        <f>SUM(W3:W14)</f>
        <v/>
      </c>
      <c r="X15" s="2">
        <f>SUM(X3:X14)</f>
        <v/>
      </c>
      <c r="Y15" s="2">
        <f>SUM(Y3:Y14)</f>
        <v/>
      </c>
      <c r="Z15" s="2">
        <f>SUM(Z3:Z14)</f>
        <v/>
      </c>
      <c r="AA15" s="2">
        <f>SUM(AA3:AA14)</f>
        <v/>
      </c>
      <c r="AB15" s="2">
        <f>SUM(AB3:AB14)</f>
        <v/>
      </c>
      <c r="AC15" s="2">
        <f>SUM(AC3:AC14)</f>
        <v/>
      </c>
      <c r="AD15" s="2">
        <f>SUM(AD3:AD14)</f>
        <v/>
      </c>
      <c r="AE15" s="2">
        <f>SUM(AE3:AE14)</f>
        <v/>
      </c>
      <c r="AF15" s="2">
        <f>SUM(AF3:AF14)</f>
        <v/>
      </c>
      <c r="AG15" s="2">
        <f>SUM(AG3:AG14)</f>
        <v/>
      </c>
      <c r="AH15" s="2">
        <f>SUM(AH3:AH14)</f>
        <v/>
      </c>
      <c r="AI15" s="2">
        <f>SUM(AI3:AI14)</f>
        <v/>
      </c>
      <c r="AJ15" s="2">
        <f>SUM(AJ3:AJ14)</f>
        <v/>
      </c>
      <c r="AK15" s="2">
        <f>SUM(AK3:AK14)</f>
        <v/>
      </c>
      <c r="AL15" s="2">
        <f>SUM(AL3:AL14)</f>
        <v/>
      </c>
      <c r="AM15" s="2">
        <f>SUM(AM3:AM14)</f>
        <v/>
      </c>
      <c r="AN15" s="2">
        <f>SUM(AN3:AN14)</f>
        <v/>
      </c>
      <c r="AO15" s="2">
        <f>SUM(AO3:AO14)</f>
        <v/>
      </c>
      <c r="AP15" s="2">
        <f>SUM(AP3:AP14)</f>
        <v/>
      </c>
      <c r="AQ15" s="2">
        <f>SUM(AQ3:AQ14)</f>
        <v/>
      </c>
      <c r="AR15" s="2">
        <f>SUM(AR3:AR14)</f>
        <v/>
      </c>
      <c r="AS15" s="2">
        <f>SUM(AS3:AS14)</f>
        <v/>
      </c>
      <c r="AT15" s="2">
        <f>SUM(AT3:AT14)</f>
        <v/>
      </c>
      <c r="AU15" s="2">
        <f>SUM(AU3:AU14)</f>
        <v/>
      </c>
      <c r="AV15" s="2">
        <f>SUM(AV3:AV14)</f>
        <v/>
      </c>
      <c r="AW15" s="2">
        <f>SUM(AW3:AW14)</f>
        <v/>
      </c>
      <c r="AX15" s="2">
        <f>SUM(AX3:AX14)</f>
        <v/>
      </c>
      <c r="AY15" s="2">
        <f>SUM(AY3:AY14)</f>
        <v/>
      </c>
      <c r="AZ15" s="2">
        <f>SUM(AZ3:AZ14)</f>
        <v/>
      </c>
      <c r="BA15" s="2">
        <f>SUM(BA3:BA14)</f>
        <v/>
      </c>
      <c r="BB15" s="2">
        <f>SUM(BB3:BB14)</f>
        <v/>
      </c>
      <c r="BC15" s="2">
        <f>SUM(BC3:BC14)</f>
        <v/>
      </c>
      <c r="BD15" s="2">
        <f>BD14</f>
        <v/>
      </c>
    </row>
    <row r="17">
      <c r="A17" t="inlineStr">
        <is>
          <t xml:space="preserve">eric </t>
        </is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B17" sqref="B17"/>
    </sheetView>
  </sheetViews>
  <sheetFormatPr baseColWidth="8" defaultRowHeight="15"/>
  <cols>
    <col width="50.7109375" bestFit="1" customWidth="1" min="1" max="1"/>
    <col width="12" customWidth="1" min="2" max="14"/>
    <col width="14" customWidth="1" min="15" max="15"/>
    <col width="18" customWidth="1" min="16" max="16"/>
  </cols>
  <sheetData>
    <row r="1">
      <c r="A1" s="10" t="inlineStr">
        <is>
          <t>Merchant</t>
        </is>
      </c>
      <c r="B1" s="6">
        <f>'CHASE #3444'!A3</f>
        <v/>
      </c>
      <c r="C1" s="6">
        <f>'CHASE #3444'!A4</f>
        <v/>
      </c>
      <c r="D1" s="6">
        <f>'CHASE #3444'!A5</f>
        <v/>
      </c>
      <c r="E1" s="6">
        <f>'CHASE #3444'!A6</f>
        <v/>
      </c>
      <c r="F1" s="6">
        <f>'CHASE #3444'!A7</f>
        <v/>
      </c>
      <c r="G1" s="6">
        <f>'CHASE #3444'!A8</f>
        <v/>
      </c>
      <c r="H1" s="6">
        <f>'CHASE #3444'!A9</f>
        <v/>
      </c>
      <c r="I1" s="6">
        <f>'CHASE #3444'!A10</f>
        <v/>
      </c>
      <c r="J1" s="6" t="n"/>
      <c r="K1" s="6">
        <f>'CHASE #3444'!A11</f>
        <v/>
      </c>
      <c r="L1" s="6">
        <f>'CHASE #3444'!A12</f>
        <v/>
      </c>
      <c r="M1" s="6">
        <f>'CHASE #3444'!A13</f>
        <v/>
      </c>
      <c r="N1" s="6">
        <f>'CHASE #3444'!A14</f>
        <v/>
      </c>
      <c r="O1" s="10" t="inlineStr">
        <is>
          <t>Total</t>
        </is>
      </c>
      <c r="P1" s="10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>
        <f>16.25+16.25</f>
        <v/>
      </c>
      <c r="E3" s="2" t="n"/>
      <c r="F3" s="2" t="n"/>
      <c r="G3" s="2" t="n"/>
      <c r="H3" s="2">
        <f>16.25</f>
        <v/>
      </c>
      <c r="I3" s="2" t="n"/>
      <c r="J3" s="2" t="n"/>
      <c r="K3" s="2" t="n"/>
      <c r="L3" s="2" t="n"/>
      <c r="M3" s="2" t="n"/>
      <c r="N3" s="2">
        <f>16.25</f>
        <v/>
      </c>
      <c r="O3" s="2">
        <f>SUM(B3,C3,D3,E3,F3,G3,H3,I3,J3,K3,L3,M3,N3)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>
        <f>117.76+117.76</f>
        <v/>
      </c>
      <c r="E5" s="2" t="n"/>
      <c r="F5" s="2" t="n"/>
      <c r="G5" s="2" t="n"/>
      <c r="H5" s="2">
        <f>117.76</f>
        <v/>
      </c>
      <c r="I5" s="2" t="n"/>
      <c r="J5" s="2" t="n"/>
      <c r="K5" s="2" t="n"/>
      <c r="L5" s="2" t="n"/>
      <c r="M5" s="2" t="n"/>
      <c r="N5" s="2">
        <f>117.76</f>
        <v/>
      </c>
      <c r="O5" s="2">
        <f>SUM(B5,C5,D5,E5,F5,G5,H5,I5,J5,K5,L5,M5,N5)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SUM(B8,C8,D8,E8,F8,G8,H8,I8,J8,K8,L8,M8,N8)</f>
        <v/>
      </c>
      <c r="P8" s="1" t="inlineStr">
        <is>
          <t>GERCORY</t>
        </is>
      </c>
    </row>
    <row r="9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SUM(B9,C9,D9,E9,F9,G9,H9,I9,J9,K9,L9,M9,N9)</f>
        <v/>
      </c>
      <c r="P9" s="1" t="n"/>
    </row>
    <row r="10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SUM(B10,C10,D10,E10,F10,G10,H10,I10,J10,K10,L10,M10,N10)</f>
        <v/>
      </c>
      <c r="P10" s="1" t="n"/>
    </row>
    <row r="11">
      <c r="A11" s="1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SUM(B11,C11,D11,E11,F11,G11,H11,I11,J11,K11,L11,M11,N11)</f>
        <v/>
      </c>
      <c r="P11" s="1" t="n"/>
    </row>
    <row r="12">
      <c r="A12" s="1" t="inlineStr">
        <is>
          <t>Bill Pay:New York State Ins 237224 4Bq1P6Kr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SUM(B12,C12,D12,E12,F12,G12,H12,I12,J12,K12,L12,M12,N12)</f>
        <v/>
      </c>
      <c r="P12" s="1" t="inlineStr">
        <is>
          <t>OFFICE EXPENSE</t>
        </is>
      </c>
    </row>
    <row r="13">
      <c r="A13" s="1" t="inlineStr">
        <is>
          <t>Bill Pay:Orange &amp; Rockland 136130 6Bq1P6Kr</t>
        </is>
      </c>
      <c r="B13" s="2" t="n"/>
      <c r="C13" s="2" t="n"/>
      <c r="D13" s="2">
        <f>350.00+350.00</f>
        <v/>
      </c>
      <c r="E13" s="2" t="n"/>
      <c r="F13" s="2" t="n"/>
      <c r="G13" s="2" t="n"/>
      <c r="H13" s="2">
        <f>350.00</f>
        <v/>
      </c>
      <c r="I13" s="2" t="n"/>
      <c r="J13" s="2" t="n"/>
      <c r="K13" s="2" t="n"/>
      <c r="L13" s="2" t="n"/>
      <c r="M13" s="2" t="n"/>
      <c r="N13" s="2">
        <f>350.00</f>
        <v/>
      </c>
      <c r="O13" s="2">
        <f>SUM(B13,C13,D13,E13,F13,G13,H13,I13,J13,K13,L13,M13,N13)</f>
        <v/>
      </c>
      <c r="P13" s="1" t="inlineStr">
        <is>
          <t>OFFICE EXPENSE</t>
        </is>
      </c>
    </row>
    <row r="14">
      <c r="A14" s="1" t="inlineStr">
        <is>
          <t>Bill Pay:Orange &amp; Rockland 879293 5Bq1P6Kr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SUM(B14,C14,D14,E14,F14,G14,H14,I14,J14,K14,L14,M14,N14)</f>
        <v/>
      </c>
      <c r="P14" s="1" t="inlineStr">
        <is>
          <t>OFFICE EXPENSE</t>
        </is>
      </c>
    </row>
    <row r="15">
      <c r="A15" s="1" t="inlineStr">
        <is>
          <t>Bill Pay:Veolia Water New Y 200045 6Bu1T6Kr</t>
        </is>
      </c>
      <c r="B15" s="2" t="n"/>
      <c r="C15" s="2" t="n"/>
      <c r="D15" s="2">
        <f>300.00+300.00</f>
        <v/>
      </c>
      <c r="E15" s="2" t="n"/>
      <c r="F15" s="2" t="n"/>
      <c r="G15" s="2" t="n"/>
      <c r="H15" s="2">
        <f>300.00</f>
        <v/>
      </c>
      <c r="I15" s="2" t="n"/>
      <c r="J15" s="2" t="n"/>
      <c r="K15" s="2" t="n"/>
      <c r="L15" s="2" t="n"/>
      <c r="M15" s="2" t="n"/>
      <c r="N15" s="2">
        <f>300.00</f>
        <v/>
      </c>
      <c r="O15" s="2">
        <f>SUM(B15,C15,D15,E15,F15,G15,H15,I15,J15,K15,L15,M15,N15)</f>
        <v/>
      </c>
      <c r="P15" s="1" t="inlineStr">
        <is>
          <t>OFFICE EXPENSE</t>
        </is>
      </c>
    </row>
    <row r="16">
      <c r="A16" s="1" t="inlineStr">
        <is>
          <t>Bill Pay:Veolia Water New Y 200054 Hbu1T6Kr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SUM(B16,C16,D16,E16,F16,G16,H16,I16,J16,K16,L16,M16,N16)</f>
        <v/>
      </c>
      <c r="P16" s="1" t="inlineStr">
        <is>
          <t>OFFICE EXPENSE</t>
        </is>
      </c>
    </row>
    <row r="17">
      <c r="A17" s="1" t="inlineStr">
        <is>
          <t>Citi Card Onlinepayment</t>
        </is>
      </c>
      <c r="B17" s="2" t="n"/>
      <c r="C17" s="2" t="n"/>
      <c r="D17" s="2">
        <f>975.00+364.75+1400.00+975.00+364.75+1400.00</f>
        <v/>
      </c>
      <c r="E17" s="2" t="n"/>
      <c r="F17" s="2" t="n"/>
      <c r="G17" s="2" t="n"/>
      <c r="H17" s="2">
        <f>975.00+364.75+1400.00</f>
        <v/>
      </c>
      <c r="I17" s="2" t="n"/>
      <c r="J17" s="2" t="n"/>
      <c r="K17" s="2" t="n"/>
      <c r="L17" s="2" t="n"/>
      <c r="M17" s="2" t="n"/>
      <c r="N17" s="2">
        <f>975.00+364.75+1400.00</f>
        <v/>
      </c>
      <c r="O17" s="2">
        <f>SUM(B17,C17,D17,E17,F17,G17,H17,I17,J17,K17,L17,M17,N17)</f>
        <v/>
      </c>
      <c r="P17" s="1" t="inlineStr">
        <is>
          <t>OFFICE EXPENSE</t>
        </is>
      </c>
    </row>
    <row r="18">
      <c r="A18" s="1" t="inlineStr">
        <is>
          <t>Credit One Bank Payment</t>
        </is>
      </c>
      <c r="B18" s="2" t="n"/>
      <c r="C18" s="2" t="n"/>
      <c r="D18" s="2">
        <f>817.29+817.29</f>
        <v/>
      </c>
      <c r="E18" s="2" t="n"/>
      <c r="F18" s="2" t="n"/>
      <c r="G18" s="2" t="n"/>
      <c r="H18" s="2">
        <f>817.29</f>
        <v/>
      </c>
      <c r="I18" s="2" t="n"/>
      <c r="J18" s="2" t="n"/>
      <c r="K18" s="2" t="n"/>
      <c r="L18" s="2" t="n"/>
      <c r="M18" s="2" t="n"/>
      <c r="N18" s="2">
        <f>817.29</f>
        <v/>
      </c>
      <c r="O18" s="2">
        <f>SUM(B18,C18,D18,E18,F18,G18,H18,I18,J18,K18,L18,M18,N18)</f>
        <v/>
      </c>
      <c r="P18" s="1" t="inlineStr">
        <is>
          <t>OFFICE EXPENSE</t>
        </is>
      </c>
    </row>
    <row r="19">
      <c r="A19" s="1" t="inlineStr">
        <is>
          <t>Discover Bank Net/Mobile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SUM(B19,C19,D19,E19,F19,G19,H19,I19,J19,K19,L19,M19,N19)</f>
        <v/>
      </c>
      <c r="P19" s="1" t="inlineStr">
        <is>
          <t>OFFICE EXPENSE</t>
        </is>
      </c>
    </row>
    <row r="20">
      <c r="A20" s="1" t="inlineStr">
        <is>
          <t>FIVE GUYS 1522 QSR 000001522 TULSA OK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SUM(B20,C20,D20,E20,F20,G20,H20,I20,J20,K20,L20,M20,N20)</f>
        <v/>
      </c>
      <c r="P20" s="1" t="inlineStr">
        <is>
          <t>OFFICE EXPENSE</t>
        </is>
      </c>
    </row>
    <row r="21">
      <c r="A21" s="1" t="inlineStr">
        <is>
          <t>Huntington Banksil Payment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SUM(B21,C21,D21,E21,F21,G21,H21,I21,J21,K21,L21,M21,N21)</f>
        <v/>
      </c>
      <c r="P21" s="1" t="inlineStr">
        <is>
          <t>MEALS</t>
        </is>
      </c>
    </row>
    <row r="22">
      <c r="A22" s="1" t="inlineStr">
        <is>
          <t>Internet Trf To Client-Added Transfer Account</t>
        </is>
      </c>
      <c r="B22" s="2" t="n"/>
      <c r="C22" s="2" t="n"/>
      <c r="D22" s="2">
        <f>385.77+740.00+385.77+740.00</f>
        <v/>
      </c>
      <c r="E22" s="2" t="n"/>
      <c r="F22" s="2" t="n"/>
      <c r="G22" s="2" t="n"/>
      <c r="H22" s="2">
        <f>385.77+740.00</f>
        <v/>
      </c>
      <c r="I22" s="2" t="n"/>
      <c r="J22" s="2" t="n"/>
      <c r="K22" s="2" t="n"/>
      <c r="L22" s="2" t="n"/>
      <c r="M22" s="2" t="n"/>
      <c r="N22" s="2">
        <f>385.77+740.00</f>
        <v/>
      </c>
      <c r="O22" s="2">
        <f>SUM(B22,C22,D22,E22,F22,G22,H22,I22,J22,K22,L22,M22,N22)</f>
        <v/>
      </c>
      <c r="P22" s="1" t="inlineStr">
        <is>
          <t>MEALS</t>
        </is>
      </c>
    </row>
    <row r="23">
      <c r="A23" s="1" t="inlineStr">
        <is>
          <t>Irs Usataxpymt</t>
        </is>
      </c>
      <c r="B23" s="2" t="n"/>
      <c r="C23" s="2" t="n"/>
      <c r="D23" s="2">
        <f>800.00+800.00+800.00+800.00</f>
        <v/>
      </c>
      <c r="E23" s="2" t="n"/>
      <c r="F23" s="2" t="n"/>
      <c r="G23" s="2" t="n"/>
      <c r="H23" s="2">
        <f>800.00+800.00</f>
        <v/>
      </c>
      <c r="I23" s="2" t="n"/>
      <c r="J23" s="2" t="n"/>
      <c r="K23" s="2" t="n"/>
      <c r="L23" s="2" t="n"/>
      <c r="M23" s="2" t="n"/>
      <c r="N23" s="2">
        <f>800.00+800.00</f>
        <v/>
      </c>
      <c r="O23" s="2">
        <f>SUM(B23,C23,D23,E23,F23,G23,H23,I23,J23,K23,L23,M23,N23)</f>
        <v/>
      </c>
      <c r="P23" s="1" t="inlineStr">
        <is>
          <t>MEALS</t>
        </is>
      </c>
    </row>
    <row r="24">
      <c r="A24" s="1" t="inlineStr">
        <is>
          <t>Kindercare Portland OR</t>
        </is>
      </c>
      <c r="B24" s="2" t="n"/>
      <c r="C24" s="2" t="n"/>
      <c r="D24" s="2">
        <f>490.00+120.00+490.00+120.00</f>
        <v/>
      </c>
      <c r="E24" s="2" t="n"/>
      <c r="F24" s="2" t="n"/>
      <c r="G24" s="2" t="n"/>
      <c r="H24" s="2">
        <f>490.00+120.00</f>
        <v/>
      </c>
      <c r="I24" s="2" t="n"/>
      <c r="J24" s="2" t="n"/>
      <c r="K24" s="2" t="n"/>
      <c r="L24" s="2" t="n"/>
      <c r="M24" s="2" t="n"/>
      <c r="N24" s="2">
        <f>490.00+120.00</f>
        <v/>
      </c>
      <c r="O24" s="2">
        <f>SUM(B24,C24,D24,E24,F24,G24,H24,I24,J24,K24,L24,M24,N24)</f>
        <v/>
      </c>
      <c r="P24" s="1" t="inlineStr">
        <is>
          <t>MEALS</t>
        </is>
      </c>
    </row>
    <row r="25">
      <c r="A25" s="1" t="inlineStr">
        <is>
          <t>No1 Sushi 88 Corkbbo ACH</t>
        </is>
      </c>
      <c r="B25" s="2" t="n"/>
      <c r="C25" s="2" t="n"/>
      <c r="D25" s="2">
        <f>4000.00+4000.00</f>
        <v/>
      </c>
      <c r="E25" s="2" t="n"/>
      <c r="F25" s="2" t="n"/>
      <c r="G25" s="2" t="n"/>
      <c r="H25" s="2">
        <f>4000.00</f>
        <v/>
      </c>
      <c r="I25" s="2" t="n"/>
      <c r="J25" s="2" t="n"/>
      <c r="K25" s="2" t="n"/>
      <c r="L25" s="2" t="n"/>
      <c r="M25" s="2" t="n"/>
      <c r="N25" s="2">
        <f>4000.00</f>
        <v/>
      </c>
      <c r="O25" s="2">
        <f>SUM(B25,C25,D25,E25,F25,G25,H25,I25,J25,K25,L25,M25,N25)</f>
        <v/>
      </c>
      <c r="P25" s="1" t="inlineStr">
        <is>
          <t>MEALS</t>
        </is>
      </c>
    </row>
    <row r="26">
      <c r="A26" s="1" t="inlineStr">
        <is>
          <t>NORDSTROM DIRECT http://shop.nordstrom WA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SUM(B26,C26,D26,E26,F26,G26,H26,I26,J26,K26,L26,M26,N26)</f>
        <v/>
      </c>
      <c r="P26" s="1" t="inlineStr">
        <is>
          <t>MEALS</t>
        </is>
      </c>
    </row>
    <row r="27">
      <c r="A27" s="1" t="inlineStr">
        <is>
          <t>Nys Dtf Pit Tax Paymnt</t>
        </is>
      </c>
      <c r="B27" s="2" t="n"/>
      <c r="C27" s="2" t="n"/>
      <c r="D27" s="2">
        <f>200.00+200.00+200.00+200.00</f>
        <v/>
      </c>
      <c r="E27" s="2" t="n"/>
      <c r="F27" s="2" t="n"/>
      <c r="G27" s="2" t="n"/>
      <c r="H27" s="2">
        <f>200.00+200.00</f>
        <v/>
      </c>
      <c r="I27" s="2" t="n"/>
      <c r="J27" s="2" t="n"/>
      <c r="K27" s="2" t="n"/>
      <c r="L27" s="2" t="n"/>
      <c r="M27" s="2" t="n"/>
      <c r="N27" s="2">
        <f>200.00+200.00</f>
        <v/>
      </c>
      <c r="O27" s="2">
        <f>SUM(B27,C27,D27,E27,F27,G27,H27,I27,J27,K27,L27,M27,N27)</f>
        <v/>
      </c>
      <c r="P27" s="1" t="inlineStr">
        <is>
          <t>MEALS</t>
        </is>
      </c>
    </row>
    <row r="28">
      <c r="A28" s="1" t="inlineStr">
        <is>
          <t>PANDA EXPRESS TACOMA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SUM(B28,C28,D28,E28,F28,G28,H28,I28,J28,K28,L28,M28,N28)</f>
        <v/>
      </c>
      <c r="P28" s="1" t="inlineStr">
        <is>
          <t>MEALS</t>
        </is>
      </c>
    </row>
    <row r="29">
      <c r="A29" s="1" t="inlineStr">
        <is>
          <t>Paypal Inst Xfer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SUM(B29,C29,D29,E29,F29,G29,H29,I29,J29,K29,L29,M29,N29)</f>
        <v/>
      </c>
      <c r="P29" s="1" t="inlineStr">
        <is>
          <t>MEALS</t>
        </is>
      </c>
    </row>
    <row r="30">
      <c r="A30" s="1" t="inlineStr">
        <is>
          <t>POS Mac Amazon.Com*9O5 Seattle WA</t>
        </is>
      </c>
      <c r="B30" s="2" t="n"/>
      <c r="C30" s="2" t="n"/>
      <c r="D30" s="2">
        <f>26.57+26.57</f>
        <v/>
      </c>
      <c r="E30" s="2" t="n"/>
      <c r="F30" s="2" t="n"/>
      <c r="G30" s="2" t="n"/>
      <c r="H30" s="2">
        <f>26.57</f>
        <v/>
      </c>
      <c r="I30" s="2" t="n"/>
      <c r="J30" s="2" t="n"/>
      <c r="K30" s="2" t="n"/>
      <c r="L30" s="2" t="n"/>
      <c r="M30" s="2" t="n"/>
      <c r="N30" s="2">
        <f>26.57</f>
        <v/>
      </c>
      <c r="O30" s="2">
        <f>SUM(B30,C30,D30,E30,F30,G30,H30,I30,J30,K30,L30,M30,N30)</f>
        <v/>
      </c>
      <c r="P30" s="1" t="inlineStr">
        <is>
          <t>MEALS</t>
        </is>
      </c>
    </row>
    <row r="31">
      <c r="A31" s="1" t="inlineStr">
        <is>
          <t>POS Mac Amazon.Com*Au5 Seattle WA</t>
        </is>
      </c>
      <c r="B31" s="2" t="n"/>
      <c r="C31" s="2" t="n"/>
      <c r="D31" s="2">
        <f>343.93+343.93</f>
        <v/>
      </c>
      <c r="E31" s="2" t="n"/>
      <c r="F31" s="2" t="n"/>
      <c r="G31" s="2" t="n"/>
      <c r="H31" s="2">
        <f>343.93</f>
        <v/>
      </c>
      <c r="I31" s="2" t="n"/>
      <c r="J31" s="2" t="n"/>
      <c r="K31" s="2" t="n"/>
      <c r="L31" s="2" t="n"/>
      <c r="M31" s="2" t="n"/>
      <c r="N31" s="2">
        <f>343.93</f>
        <v/>
      </c>
      <c r="O31" s="2">
        <f>SUM(B31,C31,D31,E31,F31,G31,H31,I31,J31,K31,L31,M31,N31)</f>
        <v/>
      </c>
      <c r="P31" s="1" t="inlineStr">
        <is>
          <t>MEALS</t>
        </is>
      </c>
    </row>
    <row r="32">
      <c r="A32" s="1" t="inlineStr">
        <is>
          <t>POS Mac Amazon.Com*Bq9 Seattle WA</t>
        </is>
      </c>
      <c r="B32" s="2" t="n"/>
      <c r="C32" s="2" t="n"/>
      <c r="D32" s="2">
        <f>17.59+17.59</f>
        <v/>
      </c>
      <c r="E32" s="2" t="n"/>
      <c r="F32" s="2" t="n"/>
      <c r="G32" s="2" t="n"/>
      <c r="H32" s="2">
        <f>17.59</f>
        <v/>
      </c>
      <c r="I32" s="2" t="n"/>
      <c r="J32" s="2" t="n"/>
      <c r="K32" s="2" t="n"/>
      <c r="L32" s="2" t="n"/>
      <c r="M32" s="2" t="n"/>
      <c r="N32" s="2">
        <f>17.59</f>
        <v/>
      </c>
      <c r="O32" s="2">
        <f>SUM(B32,C32,D32,E32,F32,G32,H32,I32,J32,K32,L32,M32,N32)</f>
        <v/>
      </c>
      <c r="P32" s="1" t="inlineStr">
        <is>
          <t>SUPPLY</t>
        </is>
      </c>
    </row>
    <row r="33">
      <c r="A33" s="1" t="inlineStr">
        <is>
          <t>POS Mac Amazon.Com*Ge2 Seattle WA</t>
        </is>
      </c>
      <c r="B33" s="2" t="n"/>
      <c r="C33" s="2" t="n"/>
      <c r="D33" s="2">
        <f>152.14+152.14</f>
        <v/>
      </c>
      <c r="E33" s="2" t="n"/>
      <c r="F33" s="2" t="n"/>
      <c r="G33" s="2" t="n"/>
      <c r="H33" s="2">
        <f>152.14</f>
        <v/>
      </c>
      <c r="I33" s="2" t="n"/>
      <c r="J33" s="2" t="n"/>
      <c r="K33" s="2" t="n"/>
      <c r="L33" s="2" t="n"/>
      <c r="M33" s="2" t="n"/>
      <c r="N33" s="2">
        <f>152.14</f>
        <v/>
      </c>
      <c r="O33" s="2">
        <f>SUM(B33,C33,D33,E33,F33,G33,H33,I33,J33,K33,L33,M33,N33)</f>
        <v/>
      </c>
      <c r="P33" s="1" t="inlineStr">
        <is>
          <t>SUPPLY</t>
        </is>
      </c>
    </row>
    <row r="34">
      <c r="A34" s="1" t="inlineStr">
        <is>
          <t>POS Mac Amazon.Com*Mz5 Seattle WA</t>
        </is>
      </c>
      <c r="B34" s="2" t="n"/>
      <c r="C34" s="2" t="n"/>
      <c r="D34" s="2">
        <f>71.79+71.79</f>
        <v/>
      </c>
      <c r="E34" s="2" t="n"/>
      <c r="F34" s="2" t="n"/>
      <c r="G34" s="2" t="n"/>
      <c r="H34" s="2">
        <f>71.79</f>
        <v/>
      </c>
      <c r="I34" s="2" t="n"/>
      <c r="J34" s="2" t="n"/>
      <c r="K34" s="2" t="n"/>
      <c r="L34" s="2" t="n"/>
      <c r="M34" s="2" t="n"/>
      <c r="N34" s="2">
        <f>71.79</f>
        <v/>
      </c>
      <c r="O34" s="2">
        <f>SUM(B34,C34,D34,E34,F34,G34,H34,I34,J34,K34,L34,M34,N34)</f>
        <v/>
      </c>
      <c r="P34" s="1" t="inlineStr">
        <is>
          <t>SUPPLY</t>
        </is>
      </c>
    </row>
    <row r="35">
      <c r="A35" s="1" t="inlineStr">
        <is>
          <t>POS Mac Amazon.Com*Nx6 Seattle WA</t>
        </is>
      </c>
      <c r="B35" s="2" t="n"/>
      <c r="C35" s="2" t="n"/>
      <c r="D35" s="2">
        <f>75.40+75.40</f>
        <v/>
      </c>
      <c r="E35" s="2" t="n"/>
      <c r="F35" s="2" t="n"/>
      <c r="G35" s="2" t="n"/>
      <c r="H35" s="2">
        <f>75.40</f>
        <v/>
      </c>
      <c r="I35" s="2" t="n"/>
      <c r="J35" s="2" t="n"/>
      <c r="K35" s="2" t="n"/>
      <c r="L35" s="2" t="n"/>
      <c r="M35" s="2" t="n"/>
      <c r="N35" s="2">
        <f>75.40</f>
        <v/>
      </c>
      <c r="O35" s="2">
        <f>SUM(B35,C35,D35,E35,F35,G35,H35,I35,J35,K35,L35,M35,N35)</f>
        <v/>
      </c>
      <c r="P35" s="1" t="inlineStr">
        <is>
          <t>SUPPLY</t>
        </is>
      </c>
    </row>
    <row r="36">
      <c r="A36" s="1" t="inlineStr">
        <is>
          <t>POS Mac Amazon.Com*Sb8 Seattle WA</t>
        </is>
      </c>
      <c r="B36" s="2" t="n"/>
      <c r="C36" s="2" t="n"/>
      <c r="D36" s="2">
        <f>18.75+18.75</f>
        <v/>
      </c>
      <c r="E36" s="2" t="n"/>
      <c r="F36" s="2" t="n"/>
      <c r="G36" s="2" t="n"/>
      <c r="H36" s="2">
        <f>18.75</f>
        <v/>
      </c>
      <c r="I36" s="2" t="n"/>
      <c r="J36" s="2" t="n"/>
      <c r="K36" s="2" t="n"/>
      <c r="L36" s="2" t="n"/>
      <c r="M36" s="2" t="n"/>
      <c r="N36" s="2">
        <f>18.75</f>
        <v/>
      </c>
      <c r="O36" s="2">
        <f>SUM(B36,C36,D36,E36,F36,G36,H36,I36,J36,K36,L36,M36,N36)</f>
        <v/>
      </c>
      <c r="P36" s="1" t="inlineStr">
        <is>
          <t>SUPPLY</t>
        </is>
      </c>
    </row>
    <row r="37">
      <c r="A37" s="1" t="inlineStr">
        <is>
          <t>POS Mac Amazon.Com*TN0 Seattle WA</t>
        </is>
      </c>
      <c r="B37" s="2" t="n"/>
      <c r="C37" s="2" t="n"/>
      <c r="D37" s="2">
        <f>50.03+50.03</f>
        <v/>
      </c>
      <c r="E37" s="2" t="n"/>
      <c r="F37" s="2" t="n"/>
      <c r="G37" s="2" t="n"/>
      <c r="H37" s="2">
        <f>50.03</f>
        <v/>
      </c>
      <c r="I37" s="2" t="n"/>
      <c r="J37" s="2" t="n"/>
      <c r="K37" s="2" t="n"/>
      <c r="L37" s="2" t="n"/>
      <c r="M37" s="2" t="n"/>
      <c r="N37" s="2">
        <f>50.03</f>
        <v/>
      </c>
      <c r="O37" s="2">
        <f>SUM(B37,C37,D37,E37,F37,G37,H37,I37,J37,K37,L37,M37,N37)</f>
        <v/>
      </c>
      <c r="P37" s="1" t="inlineStr">
        <is>
          <t>SUPPLY</t>
        </is>
      </c>
    </row>
    <row r="38">
      <c r="A38" s="1" t="inlineStr">
        <is>
          <t>POS Mac Amazon.Com*V25 Seattle WA</t>
        </is>
      </c>
      <c r="B38" s="2" t="n"/>
      <c r="C38" s="2" t="n"/>
      <c r="D38" s="2">
        <f>20.80+20.80</f>
        <v/>
      </c>
      <c r="E38" s="2" t="n"/>
      <c r="F38" s="2" t="n"/>
      <c r="G38" s="2" t="n"/>
      <c r="H38" s="2">
        <f>20.80</f>
        <v/>
      </c>
      <c r="I38" s="2" t="n"/>
      <c r="J38" s="2" t="n"/>
      <c r="K38" s="2" t="n"/>
      <c r="L38" s="2" t="n"/>
      <c r="M38" s="2" t="n"/>
      <c r="N38" s="2">
        <f>20.80</f>
        <v/>
      </c>
      <c r="O38" s="2">
        <f>SUM(B38,C38,D38,E38,F38,G38,H38,I38,J38,K38,L38,M38,N38)</f>
        <v/>
      </c>
      <c r="P38" s="1" t="inlineStr">
        <is>
          <t>SUPPLY</t>
        </is>
      </c>
    </row>
    <row r="39">
      <c r="A39" s="1" t="inlineStr">
        <is>
          <t>POS Mac Amazon.Com*Yr6 Seattle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SUM(B39,C39,D39,E39,F39,G39,H39,I39,J39,K39,L39,M39,N39)</f>
        <v/>
      </c>
      <c r="P39" s="1" t="inlineStr">
        <is>
          <t>SUPPLY</t>
        </is>
      </c>
    </row>
    <row r="40">
      <c r="A40" s="1" t="inlineStr">
        <is>
          <t>POS Mac Amazon.Com*Za2 Seattle WA</t>
        </is>
      </c>
      <c r="B40" s="2" t="n"/>
      <c r="C40" s="2" t="n"/>
      <c r="D40" s="2">
        <f>40.33+40.33</f>
        <v/>
      </c>
      <c r="E40" s="2" t="n"/>
      <c r="F40" s="2" t="n"/>
      <c r="G40" s="2" t="n"/>
      <c r="H40" s="2">
        <f>40.33</f>
        <v/>
      </c>
      <c r="I40" s="2" t="n"/>
      <c r="J40" s="2" t="n"/>
      <c r="K40" s="2" t="n"/>
      <c r="L40" s="2" t="n"/>
      <c r="M40" s="2" t="n"/>
      <c r="N40" s="2">
        <f>40.33</f>
        <v/>
      </c>
      <c r="O40" s="2">
        <f>SUM(B40,C40,D40,E40,F40,G40,H40,I40,J40,K40,L40,M40,N40)</f>
        <v/>
      </c>
      <c r="P40" s="1" t="inlineStr">
        <is>
          <t>SUPPLY</t>
        </is>
      </c>
    </row>
    <row r="41">
      <c r="A41" s="1" t="inlineStr">
        <is>
          <t>Prog Casualty Ins Prem</t>
        </is>
      </c>
      <c r="B41" s="2" t="n"/>
      <c r="C41" s="2" t="n"/>
      <c r="D41" s="2">
        <f>930.52+930.52</f>
        <v/>
      </c>
      <c r="E41" s="2" t="n"/>
      <c r="F41" s="2" t="n"/>
      <c r="G41" s="2" t="n"/>
      <c r="H41" s="2">
        <f>930.52</f>
        <v/>
      </c>
      <c r="I41" s="2" t="n"/>
      <c r="J41" s="2" t="n"/>
      <c r="K41" s="2" t="n"/>
      <c r="L41" s="2" t="n"/>
      <c r="M41" s="2" t="n"/>
      <c r="N41" s="2">
        <f>930.52</f>
        <v/>
      </c>
      <c r="O41" s="2">
        <f>SUM(B41,C41,D41,E41,F41,G41,H41,I41,J41,K41,L41,M41,N41)</f>
        <v/>
      </c>
      <c r="P41" s="1" t="inlineStr">
        <is>
          <t>SUPPLY</t>
        </is>
      </c>
    </row>
    <row r="42">
      <c r="A42" s="1" t="inlineStr">
        <is>
          <t>WHOLEFDS CHB #10588 000010588 UNIVERSITY PL WA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>
        <f>SUM(B42,C42,D42,E42,F42,G42,H42,I42,J42,K42,L42,M42,N42)</f>
        <v/>
      </c>
      <c r="P42" s="1" t="inlineStr">
        <is>
          <t>SUPPLY</t>
        </is>
      </c>
    </row>
    <row r="43">
      <c r="A43" s="1" t="inlineStr">
        <is>
          <t>Withdrawal Branch 0964 New York</t>
        </is>
      </c>
      <c r="B43" s="2" t="n"/>
      <c r="C43" s="2" t="n"/>
      <c r="D43" s="2">
        <f>1000.00+3200.00+1000.00+3200.00</f>
        <v/>
      </c>
      <c r="E43" s="2" t="n"/>
      <c r="F43" s="2" t="n"/>
      <c r="G43" s="2" t="n"/>
      <c r="H43" s="2">
        <f>1000.00+3200.00</f>
        <v/>
      </c>
      <c r="I43" s="2" t="n"/>
      <c r="J43" s="2" t="n"/>
      <c r="K43" s="2" t="n"/>
      <c r="L43" s="2" t="n"/>
      <c r="M43" s="2" t="n"/>
      <c r="N43" s="2">
        <f>1000.00+3200.00</f>
        <v/>
      </c>
      <c r="O43" s="2">
        <f>SUM(B43,C43,D43,E43,F43,G43,H43,I43,J43,K43,L43,M43,N43)</f>
        <v/>
      </c>
      <c r="P43" s="1" t="inlineStr">
        <is>
          <t>SUPPLY</t>
        </is>
      </c>
    </row>
    <row r="44">
      <c r="A44" t="inlineStr">
        <is>
          <t>Total</t>
        </is>
      </c>
      <c r="B44" s="3">
        <f>SUM(B2:B43)</f>
        <v/>
      </c>
      <c r="C44" s="3">
        <f>SUM(C2:C43)</f>
        <v/>
      </c>
      <c r="D44" s="3">
        <f>SUM(D2:D43)</f>
        <v/>
      </c>
      <c r="E44" s="3">
        <f>SUM(E2:E43)</f>
        <v/>
      </c>
      <c r="F44" s="3">
        <f>SUM(F2:F43)</f>
        <v/>
      </c>
      <c r="G44" s="3">
        <f>SUM(G2:G43)</f>
        <v/>
      </c>
      <c r="H44" s="3">
        <f>SUM(H2:H43)</f>
        <v/>
      </c>
      <c r="I44" s="3">
        <f>SUM(I2:I43)</f>
        <v/>
      </c>
      <c r="J44" s="3">
        <f>SUM(J2:J43)</f>
        <v/>
      </c>
      <c r="K44" s="3">
        <f>SUM(K2:K43)</f>
        <v/>
      </c>
      <c r="L44" s="3">
        <f>SUM(L2:L43)</f>
        <v/>
      </c>
      <c r="M44" s="3">
        <f>SUM(M2:M43)</f>
        <v/>
      </c>
      <c r="N44" s="3">
        <f>SUM(N2:N43)</f>
        <v/>
      </c>
      <c r="O44" s="3">
        <f>SUM(B44,C44,D44,E44,F44,G44,H44,I44,J44,K44,L44,M44,N44)</f>
        <v/>
      </c>
    </row>
  </sheetData>
  <autoFilter ref="A1:P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D1" sqref="D1:J1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9.28515625" bestFit="1" customWidth="1" min="6" max="6"/>
    <col width="7.140625" bestFit="1" customWidth="1" min="7" max="7"/>
    <col width="9.28515625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10" t="inlineStr">
        <is>
          <t>banewofhjsofih</t>
        </is>
      </c>
      <c r="B1" s="6" t="n">
        <v>45748</v>
      </c>
      <c r="C1" s="6" t="n">
        <v>45778</v>
      </c>
      <c r="D1" s="6" t="n">
        <v>45809</v>
      </c>
      <c r="E1" s="6" t="n">
        <v>45839</v>
      </c>
      <c r="F1" s="6" t="n">
        <v>45870</v>
      </c>
      <c r="G1" s="6" t="n">
        <v>45901</v>
      </c>
      <c r="H1" s="6" t="n">
        <v>45931</v>
      </c>
      <c r="I1" s="6" t="n">
        <v>45962</v>
      </c>
      <c r="J1" s="6" t="n">
        <v>45992</v>
      </c>
      <c r="K1" s="6" t="n">
        <v>46023</v>
      </c>
      <c r="L1" s="6" t="n">
        <v>46054</v>
      </c>
      <c r="M1" s="6" t="n">
        <v>46082</v>
      </c>
      <c r="N1" s="6" t="n">
        <v>46113</v>
      </c>
      <c r="O1" s="10" t="inlineStr">
        <is>
          <t>Total</t>
        </is>
      </c>
      <c r="P1" s="10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>
        <f>16.25</f>
        <v/>
      </c>
      <c r="C3" s="2" t="n"/>
      <c r="D3" s="2" t="n"/>
      <c r="E3" s="2" t="n"/>
      <c r="F3" s="2" t="n"/>
      <c r="G3" s="2" t="n"/>
      <c r="H3" s="2">
        <f>16.25</f>
        <v/>
      </c>
      <c r="I3" s="2" t="n"/>
      <c r="J3" s="2" t="n"/>
      <c r="K3" s="2" t="n"/>
      <c r="L3" s="2" t="n"/>
      <c r="M3" s="2">
        <f>16.25</f>
        <v/>
      </c>
      <c r="N3" s="2" t="n"/>
      <c r="O3" s="2">
        <f>SUM(B3,C3,D3,E3,F3,G3,H3,I3,J3,K3,L3,M3,N3,Q3)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>
        <f>117.76</f>
        <v/>
      </c>
      <c r="C5" s="2" t="n"/>
      <c r="D5" s="2" t="n"/>
      <c r="E5" s="2" t="n"/>
      <c r="F5" s="2" t="n"/>
      <c r="G5" s="2" t="n"/>
      <c r="H5" s="2">
        <f>117.76</f>
        <v/>
      </c>
      <c r="I5" s="2" t="n"/>
      <c r="J5" s="2" t="n"/>
      <c r="K5" s="2" t="n"/>
      <c r="L5" s="2" t="n"/>
      <c r="M5" s="2">
        <f>117.76</f>
        <v/>
      </c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>
        <f>350.00</f>
        <v/>
      </c>
      <c r="C10" s="2" t="n"/>
      <c r="D10" s="2" t="n"/>
      <c r="E10" s="2" t="n"/>
      <c r="F10" s="2" t="n"/>
      <c r="G10" s="2" t="n"/>
      <c r="H10" s="2">
        <f>350.00</f>
        <v/>
      </c>
      <c r="I10" s="2" t="n"/>
      <c r="J10" s="2" t="n"/>
      <c r="K10" s="2" t="n"/>
      <c r="L10" s="2" t="n"/>
      <c r="M10" s="2">
        <f>350.00</f>
        <v/>
      </c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>
        <f>300.00</f>
        <v/>
      </c>
      <c r="C12" s="2" t="n"/>
      <c r="D12" s="2" t="n"/>
      <c r="E12" s="2" t="n"/>
      <c r="F12" s="2" t="n"/>
      <c r="G12" s="2" t="n"/>
      <c r="H12" s="2">
        <f>300.00</f>
        <v/>
      </c>
      <c r="I12" s="2" t="n"/>
      <c r="J12" s="2" t="n"/>
      <c r="K12" s="2" t="n"/>
      <c r="L12" s="2" t="n"/>
      <c r="M12" s="2">
        <f>300.00</f>
        <v/>
      </c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>
        <f>975.00+364.75+1400.00</f>
        <v/>
      </c>
      <c r="C14" s="2" t="n"/>
      <c r="D14" s="2" t="n"/>
      <c r="E14" s="2" t="n"/>
      <c r="F14" s="2" t="n"/>
      <c r="G14" s="2" t="n"/>
      <c r="H14" s="2">
        <f>975.00+364.75+1400.00</f>
        <v/>
      </c>
      <c r="I14" s="2" t="n"/>
      <c r="J14" s="2" t="n"/>
      <c r="K14" s="2" t="n"/>
      <c r="L14" s="2" t="n"/>
      <c r="M14" s="2">
        <f>975.00+364.75+1400.00</f>
        <v/>
      </c>
      <c r="N14" s="2" t="n"/>
      <c r="O14" s="2">
        <f>SUM(B14,C14,D14,E14,F14,G14,H14,I14,J14,K14,L14,M14,N14,Q14)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>
        <f>817.29</f>
        <v/>
      </c>
      <c r="C15" s="2" t="n"/>
      <c r="D15" s="2" t="n"/>
      <c r="E15" s="2" t="n"/>
      <c r="F15" s="2" t="n"/>
      <c r="G15" s="2" t="n"/>
      <c r="H15" s="2">
        <f>817.29</f>
        <v/>
      </c>
      <c r="I15" s="2" t="n"/>
      <c r="J15" s="2" t="n"/>
      <c r="K15" s="2" t="n"/>
      <c r="L15" s="2" t="n"/>
      <c r="M15" s="2">
        <f>817.29</f>
        <v/>
      </c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>
        <f>385.77+740.00</f>
        <v/>
      </c>
      <c r="C19" s="2" t="n"/>
      <c r="D19" s="2" t="n"/>
      <c r="E19" s="2" t="n"/>
      <c r="F19" s="2" t="n"/>
      <c r="G19" s="2" t="n"/>
      <c r="H19" s="2">
        <f>385.77+740.00</f>
        <v/>
      </c>
      <c r="I19" s="2" t="n"/>
      <c r="J19" s="2" t="n"/>
      <c r="K19" s="2" t="n"/>
      <c r="L19" s="2" t="n"/>
      <c r="M19" s="2">
        <f>385.77+740.00</f>
        <v/>
      </c>
      <c r="N19" s="2" t="n"/>
      <c r="O19" s="2">
        <f>SUM(B19,C19,D19,E19,F19,G19,H19,I19,J19,K19,L19,M19,N19,Q19)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>
        <f>800.00+800.00</f>
        <v/>
      </c>
      <c r="C20" s="2" t="n"/>
      <c r="D20" s="2" t="n"/>
      <c r="E20" s="2" t="n"/>
      <c r="F20" s="2" t="n"/>
      <c r="G20" s="2" t="n"/>
      <c r="H20" s="2">
        <f>800.00+800.00</f>
        <v/>
      </c>
      <c r="I20" s="2" t="n"/>
      <c r="J20" s="2" t="n"/>
      <c r="K20" s="2" t="n"/>
      <c r="L20" s="2" t="n"/>
      <c r="M20" s="2">
        <f>800.00+800.00</f>
        <v/>
      </c>
      <c r="N20" s="2" t="n"/>
      <c r="O20" s="2">
        <f>SUM(B20,C20,D20,E20,F20,G20,H20,I20,J20,K20,L20,M20,N20,Q20)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>
        <f>490.00+120.00</f>
        <v/>
      </c>
      <c r="C21" s="2" t="n"/>
      <c r="D21" s="2" t="n"/>
      <c r="E21" s="2" t="n"/>
      <c r="F21" s="2" t="n"/>
      <c r="G21" s="2" t="n"/>
      <c r="H21" s="2">
        <f>490.00+120.00</f>
        <v/>
      </c>
      <c r="I21" s="2" t="n"/>
      <c r="J21" s="2" t="n"/>
      <c r="K21" s="2" t="n"/>
      <c r="L21" s="2" t="n"/>
      <c r="M21" s="2">
        <f>490.00+120.00</f>
        <v/>
      </c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>
        <f>4000.00</f>
        <v/>
      </c>
      <c r="C22" s="2" t="n"/>
      <c r="D22" s="2" t="n"/>
      <c r="E22" s="2" t="n"/>
      <c r="F22" s="2" t="n"/>
      <c r="G22" s="2" t="n"/>
      <c r="H22" s="2">
        <f>4000.00</f>
        <v/>
      </c>
      <c r="I22" s="2" t="n"/>
      <c r="J22" s="2" t="n"/>
      <c r="K22" s="2" t="n"/>
      <c r="L22" s="2" t="n"/>
      <c r="M22" s="2">
        <f>4000.00</f>
        <v/>
      </c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>
        <f>200.00+200.00</f>
        <v/>
      </c>
      <c r="C24" s="2" t="n"/>
      <c r="D24" s="2" t="n"/>
      <c r="E24" s="2" t="n"/>
      <c r="F24" s="2" t="n"/>
      <c r="G24" s="2" t="n"/>
      <c r="H24" s="2">
        <f>200.00+200.00</f>
        <v/>
      </c>
      <c r="I24" s="2" t="n"/>
      <c r="J24" s="2" t="n"/>
      <c r="K24" s="2" t="n"/>
      <c r="L24" s="2" t="n"/>
      <c r="M24" s="2">
        <f>200.00+200.00</f>
        <v/>
      </c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>
        <f>26.57</f>
        <v/>
      </c>
      <c r="C27" s="2" t="n"/>
      <c r="D27" s="2" t="n"/>
      <c r="E27" s="2" t="n"/>
      <c r="F27" s="2" t="n"/>
      <c r="G27" s="2" t="n"/>
      <c r="H27" s="2">
        <f>26.57</f>
        <v/>
      </c>
      <c r="I27" s="2" t="n"/>
      <c r="J27" s="2" t="n"/>
      <c r="K27" s="2" t="n"/>
      <c r="L27" s="2" t="n"/>
      <c r="M27" s="2">
        <f>26.57</f>
        <v/>
      </c>
      <c r="N27" s="2" t="n"/>
      <c r="O27" s="2">
        <f>SUM(B27,C27,D27,E27,F27,G27,H27,I27,J27,K27,L27,M27,N27,Q27)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>
        <f>343.93</f>
        <v/>
      </c>
      <c r="C28" s="2" t="n"/>
      <c r="D28" s="2" t="n"/>
      <c r="E28" s="2" t="n"/>
      <c r="F28" s="2" t="n"/>
      <c r="G28" s="2" t="n"/>
      <c r="H28" s="2">
        <f>343.93</f>
        <v/>
      </c>
      <c r="I28" s="2" t="n"/>
      <c r="J28" s="2" t="n"/>
      <c r="K28" s="2" t="n"/>
      <c r="L28" s="2" t="n"/>
      <c r="M28" s="2">
        <f>343.93</f>
        <v/>
      </c>
      <c r="N28" s="2" t="n"/>
      <c r="O28" s="2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>
        <f>17.59</f>
        <v/>
      </c>
      <c r="C29" s="2" t="n"/>
      <c r="D29" s="2" t="n"/>
      <c r="E29" s="2" t="n"/>
      <c r="F29" s="2" t="n"/>
      <c r="G29" s="2" t="n"/>
      <c r="H29" s="2">
        <f>17.59</f>
        <v/>
      </c>
      <c r="I29" s="2" t="n"/>
      <c r="J29" s="2" t="n"/>
      <c r="K29" s="2" t="n"/>
      <c r="L29" s="2" t="n"/>
      <c r="M29" s="2">
        <f>17.59</f>
        <v/>
      </c>
      <c r="N29" s="2" t="n"/>
      <c r="O29" s="2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>
        <f>152.14</f>
        <v/>
      </c>
      <c r="C30" s="2" t="n"/>
      <c r="D30" s="2" t="n"/>
      <c r="E30" s="2" t="n"/>
      <c r="F30" s="2" t="n"/>
      <c r="G30" s="2" t="n"/>
      <c r="H30" s="2">
        <f>152.14</f>
        <v/>
      </c>
      <c r="I30" s="2" t="n"/>
      <c r="J30" s="2" t="n"/>
      <c r="K30" s="2" t="n"/>
      <c r="L30" s="2" t="n"/>
      <c r="M30" s="2">
        <f>152.14</f>
        <v/>
      </c>
      <c r="N30" s="2" t="n"/>
      <c r="O30" s="2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>
        <f>71.79</f>
        <v/>
      </c>
      <c r="C31" s="2" t="n"/>
      <c r="D31" s="2" t="n"/>
      <c r="E31" s="2" t="n"/>
      <c r="F31" s="2" t="n"/>
      <c r="G31" s="2" t="n"/>
      <c r="H31" s="2">
        <f>71.79</f>
        <v/>
      </c>
      <c r="I31" s="2" t="n"/>
      <c r="J31" s="2" t="n"/>
      <c r="K31" s="2" t="n"/>
      <c r="L31" s="2" t="n"/>
      <c r="M31" s="2">
        <f>71.79</f>
        <v/>
      </c>
      <c r="N31" s="2" t="n"/>
      <c r="O31" s="2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>
        <f>75.40</f>
        <v/>
      </c>
      <c r="C32" s="2" t="n"/>
      <c r="D32" s="2" t="n"/>
      <c r="E32" s="2" t="n"/>
      <c r="F32" s="2" t="n"/>
      <c r="G32" s="2" t="n"/>
      <c r="H32" s="2">
        <f>75.40</f>
        <v/>
      </c>
      <c r="I32" s="2" t="n"/>
      <c r="J32" s="2" t="n"/>
      <c r="K32" s="2" t="n"/>
      <c r="L32" s="2" t="n"/>
      <c r="M32" s="2">
        <f>75.40</f>
        <v/>
      </c>
      <c r="N32" s="2" t="n"/>
      <c r="O32" s="2">
        <f>SUM(B32,C32,D32,E32,F32,G32,H32,I32,J32,K32,L32,M32,N32,Q32)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>
        <f>18.75</f>
        <v/>
      </c>
      <c r="C33" s="2" t="n"/>
      <c r="D33" s="2" t="n"/>
      <c r="E33" s="2" t="n"/>
      <c r="F33" s="2" t="n"/>
      <c r="G33" s="2" t="n"/>
      <c r="H33" s="2">
        <f>18.75</f>
        <v/>
      </c>
      <c r="I33" s="2" t="n"/>
      <c r="J33" s="2" t="n"/>
      <c r="K33" s="2" t="n"/>
      <c r="L33" s="2" t="n"/>
      <c r="M33" s="2">
        <f>18.75</f>
        <v/>
      </c>
      <c r="N33" s="2" t="n"/>
      <c r="O33" s="2">
        <f>SUM(B33,C33,D33,E33,F33,G33,H33,I33,J33,K33,L33,M33,N33,Q33)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>
        <f>50.03</f>
        <v/>
      </c>
      <c r="C34" s="2" t="n"/>
      <c r="D34" s="2" t="n"/>
      <c r="E34" s="2" t="n"/>
      <c r="F34" s="2" t="n"/>
      <c r="G34" s="2" t="n"/>
      <c r="H34" s="2">
        <f>50.03</f>
        <v/>
      </c>
      <c r="I34" s="2" t="n"/>
      <c r="J34" s="2" t="n"/>
      <c r="K34" s="2" t="n"/>
      <c r="L34" s="2" t="n"/>
      <c r="M34" s="2">
        <f>50.03</f>
        <v/>
      </c>
      <c r="N34" s="2" t="n"/>
      <c r="O34" s="2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>
        <f>20.80</f>
        <v/>
      </c>
      <c r="C35" s="2" t="n"/>
      <c r="D35" s="2" t="n"/>
      <c r="E35" s="2" t="n"/>
      <c r="F35" s="2" t="n"/>
      <c r="G35" s="2" t="n"/>
      <c r="H35" s="2">
        <f>20.80</f>
        <v/>
      </c>
      <c r="I35" s="2" t="n"/>
      <c r="J35" s="2" t="n"/>
      <c r="K35" s="2" t="n"/>
      <c r="L35" s="2" t="n"/>
      <c r="M35" s="2">
        <f>20.80</f>
        <v/>
      </c>
      <c r="N35" s="2" t="n"/>
      <c r="O35" s="2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>
        <f>40.33</f>
        <v/>
      </c>
      <c r="C37" s="2" t="n"/>
      <c r="D37" s="2" t="n"/>
      <c r="E37" s="2" t="n"/>
      <c r="F37" s="2" t="n"/>
      <c r="G37" s="2" t="n"/>
      <c r="H37" s="2">
        <f>40.33</f>
        <v/>
      </c>
      <c r="I37" s="2" t="n"/>
      <c r="J37" s="2" t="n"/>
      <c r="K37" s="2" t="n"/>
      <c r="L37" s="2" t="n"/>
      <c r="M37" s="2">
        <f>40.33</f>
        <v/>
      </c>
      <c r="N37" s="2" t="n"/>
      <c r="O37" s="2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>
        <f>930.52</f>
        <v/>
      </c>
      <c r="C38" s="2" t="n"/>
      <c r="D38" s="2" t="n"/>
      <c r="E38" s="2" t="n"/>
      <c r="F38" s="2" t="n"/>
      <c r="G38" s="2" t="n"/>
      <c r="H38" s="2">
        <f>930.52</f>
        <v/>
      </c>
      <c r="I38" s="2" t="n"/>
      <c r="J38" s="2" t="n"/>
      <c r="K38" s="2" t="n"/>
      <c r="L38" s="2" t="n"/>
      <c r="M38" s="2">
        <f>930.52</f>
        <v/>
      </c>
      <c r="N38" s="2" t="n"/>
      <c r="O38" s="2">
        <f>SUM(B38,C38,D38,E38,F38,G38,H38,I38,J38,K38,L38,M38,N38,Q38)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>
        <f>1000.00+3200.00</f>
        <v/>
      </c>
      <c r="C40" s="2" t="n"/>
      <c r="D40" s="2" t="n"/>
      <c r="E40" s="2" t="n"/>
      <c r="F40" s="2" t="n"/>
      <c r="G40" s="2" t="n"/>
      <c r="H40" s="2">
        <f>1000.00+3200.00</f>
        <v/>
      </c>
      <c r="I40" s="2" t="n"/>
      <c r="J40" s="2" t="n"/>
      <c r="K40" s="2" t="n"/>
      <c r="L40" s="2" t="n"/>
      <c r="M40" s="2">
        <f>1000.00+3200.00</f>
        <v/>
      </c>
      <c r="N40" s="2" t="n"/>
      <c r="O40" s="2">
        <f>SUM(B40,C40,D40,E40,F40,G40,H40,I40,J40,K40,L40,M40,N40,Q40)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3">
        <f>SUM(Q2:Q40)</f>
        <v/>
      </c>
    </row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2026-08-13T19:25:21Z</dcterms:modified>
</cp:coreProperties>
</file>