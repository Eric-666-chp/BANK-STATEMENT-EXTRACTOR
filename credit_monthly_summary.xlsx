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bit summary" sheetId="1" state="visible" r:id="rId1"/>
  </sheets>
  <definedNames>
    <definedName name="_xlnm._FilterDatabase" localSheetId="0" hidden="1">'debit summary'!$A$1:$O$29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8" customWidth="1" min="15" max="15"/>
  </cols>
  <sheetData>
    <row r="1">
      <c r="A1" s="1" t="inlineStr">
        <is>
          <t>Merchant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March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Category</t>
        </is>
      </c>
    </row>
    <row r="2">
      <c r="A2" s="2" t="inlineStr">
        <is>
          <t>Amazon Prime*Zh8618Uz3 Amzn.Com/Bill WA</t>
        </is>
      </c>
      <c r="B2" s="3">
        <f>16.25</f>
        <v/>
      </c>
      <c r="C2" s="3">
        <f>16.25</f>
        <v/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2" t="inlineStr"/>
    </row>
    <row r="3">
      <c r="A3" s="2" t="inlineStr">
        <is>
          <t>Amazon.Comseattlewa US</t>
        </is>
      </c>
      <c r="B3" s="3">
        <f>117.76</f>
        <v/>
      </c>
      <c r="C3" s="3">
        <f>117.76</f>
        <v/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SUM(B3:M3)</f>
        <v/>
      </c>
      <c r="O3" s="2" t="inlineStr"/>
    </row>
    <row r="4">
      <c r="A4" s="2" t="inlineStr">
        <is>
          <t>BCD-WILSHIRE 0000 LOS ANGELES CA</t>
        </is>
      </c>
      <c r="B4" s="3" t="n"/>
      <c r="C4" s="3" t="n"/>
      <c r="D4" s="3" t="n"/>
      <c r="E4" s="3">
        <f>75.20</f>
        <v/>
      </c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2" t="inlineStr"/>
    </row>
    <row r="5">
      <c r="A5" s="2" t="inlineStr">
        <is>
          <t>BROOKS BROTHERS CABAZON CA</t>
        </is>
      </c>
      <c r="B5" s="3" t="n"/>
      <c r="C5" s="3" t="n"/>
      <c r="D5" s="3" t="n"/>
      <c r="E5" s="3">
        <f>501.72</f>
        <v/>
      </c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2" t="inlineStr"/>
    </row>
    <row r="6">
      <c r="A6" s="2" t="inlineStr">
        <is>
          <t>Citi Card Onlinepayment</t>
        </is>
      </c>
      <c r="B6" s="3">
        <f>975.00+364.75+1400.00</f>
        <v/>
      </c>
      <c r="C6" s="3">
        <f>975.00+364.75+1400.00</f>
        <v/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2" t="inlineStr"/>
    </row>
    <row r="7">
      <c r="A7" s="2" t="inlineStr">
        <is>
          <t>Credit One Bank Payment</t>
        </is>
      </c>
      <c r="B7" s="3">
        <f>817.29</f>
        <v/>
      </c>
      <c r="C7" s="3">
        <f>817.29</f>
        <v/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2" t="inlineStr"/>
    </row>
    <row r="8">
      <c r="A8" s="2" t="inlineStr">
        <is>
          <t>FIVE GUYS 1522 QSR 000001522 TULSA OK</t>
        </is>
      </c>
      <c r="B8" s="3" t="n"/>
      <c r="C8" s="3" t="n"/>
      <c r="D8" s="3" t="n"/>
      <c r="E8" s="3">
        <f>18.58</f>
        <v/>
      </c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2" t="inlineStr"/>
    </row>
    <row r="9">
      <c r="A9" s="2" t="inlineStr">
        <is>
          <t>GANNI INC NEW YORK NY</t>
        </is>
      </c>
      <c r="B9" s="3" t="n"/>
      <c r="C9" s="3" t="n"/>
      <c r="D9" s="3" t="n"/>
      <c r="E9" s="3">
        <f>75.64</f>
        <v/>
      </c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2" t="inlineStr"/>
    </row>
    <row r="10">
      <c r="A10" s="2" t="inlineStr">
        <is>
          <t>H MART IRVINE INC 1822 IRVINE CA</t>
        </is>
      </c>
      <c r="B10" s="3" t="n"/>
      <c r="C10" s="3" t="n"/>
      <c r="D10" s="3" t="n"/>
      <c r="E10" s="3">
        <f>31.93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SUM(B10:M10)</f>
        <v/>
      </c>
      <c r="O10" s="2" t="inlineStr"/>
    </row>
    <row r="11">
      <c r="A11" s="2" t="inlineStr">
        <is>
          <t>IN-N-OUT CABAZON CABAZON CA</t>
        </is>
      </c>
      <c r="B11" s="3" t="n"/>
      <c r="C11" s="3" t="n"/>
      <c r="D11" s="3" t="n"/>
      <c r="E11" s="3">
        <f>15.62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2" t="inlineStr"/>
    </row>
    <row r="12">
      <c r="A12" s="2" t="inlineStr">
        <is>
          <t>Irs Usataxpymt</t>
        </is>
      </c>
      <c r="B12" s="3">
        <f>800.00+800.00</f>
        <v/>
      </c>
      <c r="C12" s="3">
        <f>800.00+800.00</f>
        <v/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SUM(B12:M12)</f>
        <v/>
      </c>
      <c r="O12" s="2" t="inlineStr"/>
    </row>
    <row r="13">
      <c r="A13" s="2" t="inlineStr">
        <is>
          <t>Kindercare Portland OR</t>
        </is>
      </c>
      <c r="B13" s="3">
        <f>490.00+120.00</f>
        <v/>
      </c>
      <c r="C13" s="3">
        <f>490.00+120.00</f>
        <v/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2" t="inlineStr"/>
    </row>
    <row r="14">
      <c r="A14" s="2" t="inlineStr">
        <is>
          <t>NORDSTROM DIRECT http://shop.nordstrom WA</t>
        </is>
      </c>
      <c r="B14" s="3" t="n"/>
      <c r="C14" s="3" t="n"/>
      <c r="D14" s="3" t="n"/>
      <c r="E14" s="3">
        <f>413.63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2" t="inlineStr"/>
    </row>
    <row r="15">
      <c r="A15" s="2" t="inlineStr">
        <is>
          <t>Nys Dtf Pit Tax Paymnt</t>
        </is>
      </c>
      <c r="B15" s="3">
        <f>200.00+200.00</f>
        <v/>
      </c>
      <c r="C15" s="3">
        <f>200.00+200.00</f>
        <v/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2" t="inlineStr"/>
    </row>
    <row r="16">
      <c r="A16" s="2" t="inlineStr">
        <is>
          <t>PANDA EXPRESS TACOMA WA</t>
        </is>
      </c>
      <c r="B16" s="3" t="n"/>
      <c r="C16" s="3" t="n"/>
      <c r="D16" s="3" t="n"/>
      <c r="E16" s="3">
        <f>28.49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2" t="inlineStr"/>
    </row>
    <row r="17">
      <c r="A17" s="2" t="inlineStr">
        <is>
          <t>POS Mac Amazon.Com*Au5 Seattle WA</t>
        </is>
      </c>
      <c r="B17" s="3">
        <f>343.93</f>
        <v/>
      </c>
      <c r="C17" s="3">
        <f>343.93</f>
        <v/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2" t="inlineStr"/>
    </row>
    <row r="18">
      <c r="A18" s="2" t="inlineStr">
        <is>
          <t>POS Mac Amazon.Com*Bq9 Seattle WA</t>
        </is>
      </c>
      <c r="B18" s="3">
        <f>17.59</f>
        <v/>
      </c>
      <c r="C18" s="3">
        <f>17.59</f>
        <v/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2" t="inlineStr"/>
    </row>
    <row r="19">
      <c r="A19" s="2" t="inlineStr">
        <is>
          <t>POS Mac Amazon.Com*Ge2 Seattle WA</t>
        </is>
      </c>
      <c r="B19" s="3">
        <f>152.14</f>
        <v/>
      </c>
      <c r="C19" s="3">
        <f>152.14</f>
        <v/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SUM(B19:M19)</f>
        <v/>
      </c>
      <c r="O19" s="2" t="inlineStr"/>
    </row>
    <row r="20">
      <c r="A20" s="2" t="inlineStr">
        <is>
          <t>POS Mac Amazon.Com*Mz5 Seattle WA</t>
        </is>
      </c>
      <c r="B20" s="3">
        <f>71.79</f>
        <v/>
      </c>
      <c r="C20" s="3">
        <f>71.79</f>
        <v/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SUM(B20:M20)</f>
        <v/>
      </c>
      <c r="O20" s="2" t="inlineStr"/>
    </row>
    <row r="21">
      <c r="A21" s="2" t="inlineStr">
        <is>
          <t>POS Mac Amazon.Com*Sb8 Seattle WA</t>
        </is>
      </c>
      <c r="B21" s="3">
        <f>18.75</f>
        <v/>
      </c>
      <c r="C21" s="3">
        <f>18.75</f>
        <v/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SUM(B21:M21)</f>
        <v/>
      </c>
      <c r="O21" s="2" t="inlineStr"/>
    </row>
    <row r="22">
      <c r="A22" s="2" t="inlineStr">
        <is>
          <t>POS Mac Amazon.Com*TN0 Seattle WA</t>
        </is>
      </c>
      <c r="B22" s="3">
        <f>50.03</f>
        <v/>
      </c>
      <c r="C22" s="3">
        <f>50.03</f>
        <v/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SUM(B22:M22)</f>
        <v/>
      </c>
      <c r="O22" s="2" t="inlineStr"/>
    </row>
    <row r="23">
      <c r="A23" s="2" t="inlineStr">
        <is>
          <t>POS Mac Amazon.Com*V25 Seattle WA</t>
        </is>
      </c>
      <c r="B23" s="3">
        <f>20.80</f>
        <v/>
      </c>
      <c r="C23" s="3">
        <f>20.80</f>
        <v/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2" t="inlineStr"/>
    </row>
    <row r="24">
      <c r="A24" s="2" t="inlineStr">
        <is>
          <t>POS Mac Amazon.Com*Za2 Seattle WA</t>
        </is>
      </c>
      <c r="B24" s="3">
        <f>40.33</f>
        <v/>
      </c>
      <c r="C24" s="3">
        <f>40.33</f>
        <v/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SUM(B24:M24)</f>
        <v/>
      </c>
      <c r="O24" s="2" t="inlineStr"/>
    </row>
    <row r="25">
      <c r="A25" s="2" t="inlineStr">
        <is>
          <t>Prog Casualty Ins Prem</t>
        </is>
      </c>
      <c r="B25" s="3">
        <f>930.52</f>
        <v/>
      </c>
      <c r="C25" s="3">
        <f>930.52</f>
        <v/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2" t="inlineStr"/>
    </row>
    <row r="26">
      <c r="A26" s="2" t="inlineStr">
        <is>
          <t>WHOLE FOODS MARKET/CHB 000010588 UNIVERSITY PL WA</t>
        </is>
      </c>
      <c r="B26" s="3" t="n"/>
      <c r="C26" s="3" t="n"/>
      <c r="D26" s="3" t="n"/>
      <c r="E26" s="3">
        <f>7.51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SUM(B26:M26)</f>
        <v/>
      </c>
      <c r="O26" s="2" t="inlineStr">
        <is>
          <t>Grocery</t>
        </is>
      </c>
    </row>
    <row r="27">
      <c r="A27" s="2" t="inlineStr">
        <is>
          <t>WHOLEFDS CHB #10588 000010588 UNIVERSITY PL WA</t>
        </is>
      </c>
      <c r="B27" s="3" t="n"/>
      <c r="C27" s="3" t="n"/>
      <c r="D27" s="3" t="n"/>
      <c r="E27" s="3">
        <f>95.44+101.98+76.47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  <c r="N27" s="3">
        <f>SUM(B27:M27)</f>
        <v/>
      </c>
      <c r="O27" s="2" t="inlineStr"/>
    </row>
    <row r="28">
      <c r="A28" s="2" t="inlineStr">
        <is>
          <t>Withdrawal Branch 0964 New York</t>
        </is>
      </c>
      <c r="B28" s="3">
        <f>3200.00</f>
        <v/>
      </c>
      <c r="C28" s="3">
        <f>3200.00</f>
        <v/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SUM(B28:M28)</f>
        <v/>
      </c>
      <c r="O28" s="2" t="inlineStr"/>
    </row>
    <row r="29">
      <c r="A29" s="2" t="inlineStr">
        <is>
          <t>Total</t>
        </is>
      </c>
      <c r="B29" s="3">
        <f>SUM(B2:B28)</f>
        <v/>
      </c>
      <c r="C29" s="3">
        <f>SUM(C2:C28)</f>
        <v/>
      </c>
      <c r="D29" s="3">
        <f>SUM(D2:D28)</f>
        <v/>
      </c>
      <c r="E29" s="3">
        <f>SUM(E2:E28)</f>
        <v/>
      </c>
      <c r="F29" s="3">
        <f>SUM(F2:F28)</f>
        <v/>
      </c>
      <c r="G29" s="3">
        <f>SUM(G2:G28)</f>
        <v/>
      </c>
      <c r="H29" s="3">
        <f>SUM(H2:H28)</f>
        <v/>
      </c>
      <c r="I29" s="3">
        <f>SUM(I2:I28)</f>
        <v/>
      </c>
      <c r="J29" s="3">
        <f>SUM(J2:J28)</f>
        <v/>
      </c>
      <c r="K29" s="3">
        <f>SUM(K2:K28)</f>
        <v/>
      </c>
      <c r="L29" s="3">
        <f>SUM(L2:L28)</f>
        <v/>
      </c>
      <c r="M29" s="3">
        <f>SUM(M2:M28)</f>
        <v/>
      </c>
      <c r="N29" s="3">
        <f>SUM(B29:M29)</f>
        <v/>
      </c>
      <c r="O29" s="2" t="inlineStr"/>
    </row>
  </sheetData>
  <autoFilter ref="A1:O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2026-07-17T01:44:49Z</dcterms:created>
  <dcterms:modified xsi:type="dcterms:W3CDTF">2026-07-17T01:48:32Z</dcterms:modified>
</cp:coreProperties>
</file>