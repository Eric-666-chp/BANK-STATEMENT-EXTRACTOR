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edit Summary" sheetId="1" state="visible" r:id="rId1"/>
    <sheet name="debit summary" sheetId="2" state="visible" r:id="rId2"/>
  </sheets>
  <definedNames>
    <definedName name="_xlnm._FilterDatabase" localSheetId="0" hidden="1">'Credit Summary'!$A$2:$J$15</definedName>
    <definedName name="_xlnm._FilterDatabase" localSheetId="1" hidden="1">'debit summary'!$A$1:$O$26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 ht="24" customHeight="1">
      <c r="A1" s="1" t="n"/>
      <c r="B1" s="2" t="inlineStr">
        <is>
          <t>CHASE #3444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4" customHeight="1">
      <c r="A2" s="2" t="n"/>
      <c r="B2" s="2" t="inlineStr">
        <is>
          <t>BEGIN BALANCE</t>
        </is>
      </c>
      <c r="C2" s="2" t="inlineStr">
        <is>
          <t>CASH / CHECK DEPOSIT</t>
        </is>
      </c>
      <c r="D2" s="2" t="inlineStr">
        <is>
          <t>NORDSTROM</t>
        </is>
      </c>
      <c r="E2" s="2" t="inlineStr">
        <is>
          <t>J JILL STORE 69 WA</t>
        </is>
      </c>
      <c r="F2" s="2" t="inlineStr">
        <is>
          <t>AMAZON MARKETPLACE NA PA</t>
        </is>
      </c>
      <c r="G2" s="2" t="inlineStr">
        <is>
          <t>AMAZON.COM</t>
        </is>
      </c>
      <c r="H2" s="2" t="inlineStr">
        <is>
          <t>TOTAL CREDIT</t>
        </is>
      </c>
      <c r="I2" s="2" t="inlineStr">
        <is>
          <t>DEBIT</t>
        </is>
      </c>
      <c r="J2" s="2" t="inlineStr">
        <is>
          <t>ENDING BALANCE</t>
        </is>
      </c>
    </row>
    <row r="3">
      <c r="A3" s="1" t="inlineStr">
        <is>
          <t>JAN</t>
        </is>
      </c>
      <c r="B3" s="3" t="n">
        <v>0</v>
      </c>
      <c r="C3" s="3" t="n"/>
      <c r="D3" s="3" t="n">
        <v>-227.5</v>
      </c>
      <c r="E3" s="3" t="n">
        <v>-45.98</v>
      </c>
      <c r="F3" s="3" t="n">
        <v>-248.04</v>
      </c>
      <c r="G3" s="3" t="n">
        <v>-250.76</v>
      </c>
      <c r="H3" s="3">
        <f>SUM(C3:G3)</f>
        <v/>
      </c>
      <c r="I3" s="3">
        <f>'debit summary'!B26</f>
        <v/>
      </c>
      <c r="J3" s="3">
        <f>B3+H3-I3</f>
        <v/>
      </c>
    </row>
    <row r="4">
      <c r="A4" s="1" t="inlineStr">
        <is>
          <t>FEB</t>
        </is>
      </c>
      <c r="B4" s="3">
        <f>J3</f>
        <v/>
      </c>
      <c r="C4" s="3" t="n"/>
      <c r="D4" s="3" t="n"/>
      <c r="E4" s="3" t="n"/>
      <c r="F4" s="3" t="n"/>
      <c r="G4" s="3" t="n"/>
      <c r="H4" s="3">
        <f>SUM(C4:G4)</f>
        <v/>
      </c>
      <c r="I4" s="3">
        <f>'debit summary'!C26</f>
        <v/>
      </c>
      <c r="J4" s="3">
        <f>B4+H4-I4</f>
        <v/>
      </c>
    </row>
    <row r="5">
      <c r="A5" s="1" t="inlineStr">
        <is>
          <t>MAR</t>
        </is>
      </c>
      <c r="B5" s="3">
        <f>J4</f>
        <v/>
      </c>
      <c r="C5" s="3" t="n"/>
      <c r="D5" s="3" t="n"/>
      <c r="E5" s="3" t="n"/>
      <c r="F5" s="3" t="n"/>
      <c r="G5" s="3" t="n"/>
      <c r="H5" s="3">
        <f>SUM(C5:G5)</f>
        <v/>
      </c>
      <c r="I5" s="3">
        <f>'debit summary'!D26</f>
        <v/>
      </c>
      <c r="J5" s="3">
        <f>B5+H5-I5</f>
        <v/>
      </c>
    </row>
    <row r="6">
      <c r="A6" s="1" t="inlineStr">
        <is>
          <t>APR</t>
        </is>
      </c>
      <c r="B6" s="3">
        <f>J5</f>
        <v/>
      </c>
      <c r="C6" s="3" t="n"/>
      <c r="D6" s="3" t="n"/>
      <c r="E6" s="3" t="n"/>
      <c r="F6" s="3" t="n"/>
      <c r="G6" s="3" t="n"/>
      <c r="H6" s="3">
        <f>SUM(C6:G6)</f>
        <v/>
      </c>
      <c r="I6" s="3">
        <f>'debit summary'!E26</f>
        <v/>
      </c>
      <c r="J6" s="3">
        <f>B6+H6-I6</f>
        <v/>
      </c>
    </row>
    <row r="7">
      <c r="A7" s="1" t="inlineStr">
        <is>
          <t>MAY</t>
        </is>
      </c>
      <c r="B7" s="3">
        <f>J6</f>
        <v/>
      </c>
      <c r="C7" s="3" t="n"/>
      <c r="D7" s="3" t="n"/>
      <c r="E7" s="3" t="n"/>
      <c r="F7" s="3" t="n"/>
      <c r="G7" s="3" t="n"/>
      <c r="H7" s="3">
        <f>SUM(C7:G7)</f>
        <v/>
      </c>
      <c r="I7" s="3">
        <f>'debit summary'!F26</f>
        <v/>
      </c>
      <c r="J7" s="3">
        <f>B7+H7-I7</f>
        <v/>
      </c>
    </row>
    <row r="8">
      <c r="A8" s="1" t="inlineStr">
        <is>
          <t>JUN</t>
        </is>
      </c>
      <c r="B8" s="3">
        <f>J7</f>
        <v/>
      </c>
      <c r="C8" s="3" t="n"/>
      <c r="D8" s="3" t="n"/>
      <c r="E8" s="3" t="n"/>
      <c r="F8" s="3" t="n"/>
      <c r="G8" s="3" t="n"/>
      <c r="H8" s="3">
        <f>SUM(C8:G8)</f>
        <v/>
      </c>
      <c r="I8" s="3">
        <f>'debit summary'!G26</f>
        <v/>
      </c>
      <c r="J8" s="3">
        <f>B8+H8-I8</f>
        <v/>
      </c>
    </row>
    <row r="9">
      <c r="A9" s="1" t="inlineStr">
        <is>
          <t>JUL</t>
        </is>
      </c>
      <c r="B9" s="3">
        <f>J8</f>
        <v/>
      </c>
      <c r="C9" s="3" t="n"/>
      <c r="D9" s="3" t="n"/>
      <c r="E9" s="3" t="n"/>
      <c r="F9" s="3" t="n"/>
      <c r="G9" s="3" t="n"/>
      <c r="H9" s="3">
        <f>SUM(C9:G9)</f>
        <v/>
      </c>
      <c r="I9" s="3">
        <f>'debit summary'!H26</f>
        <v/>
      </c>
      <c r="J9" s="3">
        <f>B9+H9-I9</f>
        <v/>
      </c>
    </row>
    <row r="10">
      <c r="A10" s="1" t="inlineStr">
        <is>
          <t>AUG</t>
        </is>
      </c>
      <c r="B10" s="3">
        <f>J9</f>
        <v/>
      </c>
      <c r="C10" s="3" t="n"/>
      <c r="D10" s="3" t="n"/>
      <c r="E10" s="3" t="n"/>
      <c r="F10" s="3" t="n"/>
      <c r="G10" s="3" t="n"/>
      <c r="H10" s="3">
        <f>SUM(C10:G10)</f>
        <v/>
      </c>
      <c r="I10" s="3">
        <f>'debit summary'!I26</f>
        <v/>
      </c>
      <c r="J10" s="3">
        <f>B10+H10-I10</f>
        <v/>
      </c>
    </row>
    <row r="11">
      <c r="A11" s="1" t="inlineStr">
        <is>
          <t>SEP</t>
        </is>
      </c>
      <c r="B11" s="3">
        <f>J10</f>
        <v/>
      </c>
      <c r="C11" s="3" t="n"/>
      <c r="D11" s="3" t="n"/>
      <c r="E11" s="3" t="n"/>
      <c r="F11" s="3" t="n"/>
      <c r="G11" s="3" t="n"/>
      <c r="H11" s="3">
        <f>SUM(C11:G11)</f>
        <v/>
      </c>
      <c r="I11" s="3">
        <f>'debit summary'!J26</f>
        <v/>
      </c>
      <c r="J11" s="3">
        <f>B11+H11-I11</f>
        <v/>
      </c>
    </row>
    <row r="12">
      <c r="A12" s="1" t="inlineStr">
        <is>
          <t>OCT</t>
        </is>
      </c>
      <c r="B12" s="3">
        <f>J11</f>
        <v/>
      </c>
      <c r="C12" s="3" t="n"/>
      <c r="D12" s="3" t="n"/>
      <c r="E12" s="3" t="n"/>
      <c r="F12" s="3" t="n"/>
      <c r="G12" s="3" t="n"/>
      <c r="H12" s="3">
        <f>SUM(C12:G12)</f>
        <v/>
      </c>
      <c r="I12" s="3">
        <f>'debit summary'!K26</f>
        <v/>
      </c>
      <c r="J12" s="3">
        <f>B12+H12-I12</f>
        <v/>
      </c>
    </row>
    <row r="13">
      <c r="A13" s="1" t="inlineStr">
        <is>
          <t>NOV</t>
        </is>
      </c>
      <c r="B13" s="3">
        <f>J12</f>
        <v/>
      </c>
      <c r="C13" s="3" t="n"/>
      <c r="D13" s="3" t="n"/>
      <c r="E13" s="3" t="n"/>
      <c r="F13" s="3" t="n"/>
      <c r="G13" s="3" t="n"/>
      <c r="H13" s="3">
        <f>SUM(C13:G13)</f>
        <v/>
      </c>
      <c r="I13" s="3">
        <f>'debit summary'!L26</f>
        <v/>
      </c>
      <c r="J13" s="3">
        <f>B13+H13-I13</f>
        <v/>
      </c>
    </row>
    <row r="14">
      <c r="A14" s="1" t="inlineStr">
        <is>
          <t>DEC</t>
        </is>
      </c>
      <c r="B14" s="3">
        <f>J13</f>
        <v/>
      </c>
      <c r="C14" s="3" t="n"/>
      <c r="D14" s="3" t="n"/>
      <c r="E14" s="3" t="n"/>
      <c r="F14" s="3" t="n"/>
      <c r="G14" s="3" t="n"/>
      <c r="H14" s="3">
        <f>SUM(C14:G14)</f>
        <v/>
      </c>
      <c r="I14" s="3">
        <f>'debit summary'!M26</f>
        <v/>
      </c>
      <c r="J14" s="3">
        <f>B14+H14-I14</f>
        <v/>
      </c>
    </row>
    <row r="15">
      <c r="A15" s="1" t="inlineStr">
        <is>
          <t>TOTAL</t>
        </is>
      </c>
      <c r="B15" s="3" t="n"/>
      <c r="C15" s="3">
        <f>SUM(C3:C14)</f>
        <v/>
      </c>
      <c r="D15" s="3">
        <f>SUM(D3:D14)</f>
        <v/>
      </c>
      <c r="E15" s="3">
        <f>SUM(E3:E14)</f>
        <v/>
      </c>
      <c r="F15" s="3">
        <f>SUM(F3:F14)</f>
        <v/>
      </c>
      <c r="G15" s="3">
        <f>SUM(G3:G14)</f>
        <v/>
      </c>
      <c r="H15" s="3">
        <f>SUM(H3:H14)</f>
        <v/>
      </c>
      <c r="I15" s="3">
        <f>'debit summary'!N26</f>
        <v/>
      </c>
      <c r="J15" s="3">
        <f>J14</f>
        <v/>
      </c>
    </row>
  </sheetData>
  <autoFilter ref="A2:J1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8" customWidth="1" min="15" max="15"/>
  </cols>
  <sheetData>
    <row r="1">
      <c r="A1" s="2" t="inlineStr">
        <is>
          <t>Merchant</t>
        </is>
      </c>
      <c r="B1" s="2" t="inlineStr">
        <is>
          <t>Jan</t>
        </is>
      </c>
      <c r="C1" s="2" t="inlineStr">
        <is>
          <t>Feb</t>
        </is>
      </c>
      <c r="D1" s="2" t="inlineStr">
        <is>
          <t>March</t>
        </is>
      </c>
      <c r="E1" s="2" t="inlineStr">
        <is>
          <t>Apr</t>
        </is>
      </c>
      <c r="F1" s="2" t="inlineStr">
        <is>
          <t>May</t>
        </is>
      </c>
      <c r="G1" s="2" t="inlineStr">
        <is>
          <t>Jun</t>
        </is>
      </c>
      <c r="H1" s="2" t="inlineStr">
        <is>
          <t>Jul</t>
        </is>
      </c>
      <c r="I1" s="2" t="inlineStr">
        <is>
          <t>Aug</t>
        </is>
      </c>
      <c r="J1" s="2" t="inlineStr">
        <is>
          <t>Sep</t>
        </is>
      </c>
      <c r="K1" s="2" t="inlineStr">
        <is>
          <t>Oct</t>
        </is>
      </c>
      <c r="L1" s="2" t="inlineStr">
        <is>
          <t>Nov</t>
        </is>
      </c>
      <c r="M1" s="2" t="inlineStr">
        <is>
          <t>Dec</t>
        </is>
      </c>
      <c r="N1" s="2" t="inlineStr">
        <is>
          <t>Total</t>
        </is>
      </c>
      <c r="O1" s="2" t="inlineStr">
        <is>
          <t>Category</t>
        </is>
      </c>
    </row>
    <row r="2">
      <c r="A2" s="1" t="inlineStr">
        <is>
          <t>#000006632 WITHDRWL</t>
        </is>
      </c>
      <c r="B2" s="3">
        <f>-5000.00</f>
        <v/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>
        <f>SUM(B2:M2)</f>
        <v/>
      </c>
      <c r="O2" s="1" t="inlineStr"/>
    </row>
    <row r="3">
      <c r="A3" s="1" t="inlineStr">
        <is>
          <t>% ARABICA THE GROVE Los Angeles CA</t>
        </is>
      </c>
      <c r="B3" s="3">
        <f>14.00</f>
        <v/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>
        <f>SUM(B3:M3)</f>
        <v/>
      </c>
      <c r="O3" s="1" t="inlineStr"/>
    </row>
    <row r="4">
      <c r="A4" s="1" t="inlineStr">
        <is>
          <t>99 RANCH MARKET KENT WA</t>
        </is>
      </c>
      <c r="B4" s="3">
        <f>90.44</f>
        <v/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>
        <f>SUM(B4:M4)</f>
        <v/>
      </c>
      <c r="O4" s="1" t="inlineStr"/>
    </row>
    <row r="5">
      <c r="A5" s="1" t="inlineStr">
        <is>
          <t>ACE PARKING LOT SEATTLE WA</t>
        </is>
      </c>
      <c r="B5" s="3">
        <f>18.00</f>
        <v/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>
        <f>SUM(B5:M5)</f>
        <v/>
      </c>
      <c r="O5" s="1" t="inlineStr"/>
    </row>
    <row r="6">
      <c r="A6" s="1" t="inlineStr">
        <is>
          <t>BCD-IRVINE 0000 IRVINE CA</t>
        </is>
      </c>
      <c r="B6" s="3">
        <f>72.41</f>
        <v/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>
        <f>SUM(B6:M6)</f>
        <v/>
      </c>
      <c r="O6" s="1" t="inlineStr"/>
    </row>
    <row r="7">
      <c r="A7" s="1" t="inlineStr">
        <is>
          <t>BCD-WILSHIRE 0000 LOS ANGELES CA</t>
        </is>
      </c>
      <c r="B7" s="3">
        <f>75.20+73.43</f>
        <v/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>
        <f>SUM(B7:M7)</f>
        <v/>
      </c>
      <c r="O7" s="1" t="inlineStr"/>
    </row>
    <row r="8">
      <c r="A8" s="1" t="inlineStr">
        <is>
          <t>BROOKS BROTHERS CABAZON CA</t>
        </is>
      </c>
      <c r="B8" s="3">
        <f>501.72</f>
        <v/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>
        <f>SUM(B8:M8)</f>
        <v/>
      </c>
      <c r="O8" s="1" t="inlineStr"/>
    </row>
    <row r="9">
      <c r="A9" s="1" t="inlineStr">
        <is>
          <t>DIPTYQUE GROVE 930579840142026 LOS ANGELES CA</t>
        </is>
      </c>
      <c r="B9" s="3">
        <f>136.89</f>
        <v/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>
        <f>SUM(B9:M9)</f>
        <v/>
      </c>
      <c r="O9" s="1" t="inlineStr"/>
    </row>
    <row r="10">
      <c r="A10" s="1" t="inlineStr">
        <is>
          <t>ERMENEGILDO ZEGNA CORPORATION ALBANY NY</t>
        </is>
      </c>
      <c r="B10" s="3">
        <f>906.72</f>
        <v/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>
        <f>SUM(B10:M10)</f>
        <v/>
      </c>
      <c r="O10" s="1" t="inlineStr"/>
    </row>
    <row r="11">
      <c r="A11" s="1" t="inlineStr">
        <is>
          <t>FIVE GUYS 1522 QSR 000001522 TULSA OK</t>
        </is>
      </c>
      <c r="B11" s="3">
        <f>18.58</f>
        <v/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>
        <f>SUM(B11:M11)</f>
        <v/>
      </c>
      <c r="O11" s="1" t="inlineStr"/>
    </row>
    <row r="12">
      <c r="A12" s="1" t="inlineStr">
        <is>
          <t>FT LEWIS COMMISSARY 000001222 FORT LEWIS WA</t>
        </is>
      </c>
      <c r="B12" s="3">
        <f>98.94</f>
        <v/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>
        <f>SUM(B12:M12)</f>
        <v/>
      </c>
      <c r="O12" s="1" t="inlineStr"/>
    </row>
    <row r="13">
      <c r="A13" s="1" t="inlineStr">
        <is>
          <t>GANNI INC NEW YORK NY</t>
        </is>
      </c>
      <c r="B13" s="3">
        <f>75.64</f>
        <v/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>
        <f>SUM(B13:M13)</f>
        <v/>
      </c>
      <c r="O13" s="1" t="inlineStr"/>
    </row>
    <row r="14">
      <c r="A14" s="1" t="inlineStr">
        <is>
          <t>H MART IRVINE INC 1822 IRVINE CA</t>
        </is>
      </c>
      <c r="B14" s="3">
        <f>31.93</f>
        <v/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>
        <f>SUM(B14:M14)</f>
        <v/>
      </c>
      <c r="O14" s="1" t="inlineStr"/>
    </row>
    <row r="15">
      <c r="A15" s="1" t="inlineStr">
        <is>
          <t>IN-N-OUT CABAZON CABAZON CA</t>
        </is>
      </c>
      <c r="B15" s="3">
        <f>15.62</f>
        <v/>
      </c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>
        <f>SUM(B15:M15)</f>
        <v/>
      </c>
      <c r="O15" s="1" t="inlineStr"/>
    </row>
    <row r="16">
      <c r="A16" s="1" t="inlineStr">
        <is>
          <t>LAZ PARKING M17154 0000 LOS ANGELES CA</t>
        </is>
      </c>
      <c r="B16" s="3">
        <f>10.00</f>
        <v/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>
        <f>SUM(B16:M16)</f>
        <v/>
      </c>
      <c r="O16" s="1" t="inlineStr"/>
    </row>
    <row r="17">
      <c r="A17" s="1" t="inlineStr">
        <is>
          <t>MEI WA BAKERY 00-08043154247 KENT WA</t>
        </is>
      </c>
      <c r="B17" s="3">
        <f>20.80</f>
        <v/>
      </c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>
        <f>SUM(B17:M17)</f>
        <v/>
      </c>
      <c r="O17" s="1" t="inlineStr"/>
    </row>
    <row r="18">
      <c r="A18" s="1" t="inlineStr">
        <is>
          <t>NORDSTROM DIRECT http://shop.nordstrom WA</t>
        </is>
      </c>
      <c r="B18" s="3">
        <f>413.63</f>
        <v/>
      </c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>
        <f>SUM(B18:M18)</f>
        <v/>
      </c>
      <c r="O18" s="1" t="inlineStr"/>
    </row>
    <row r="19">
      <c r="A19" s="1" t="inlineStr">
        <is>
          <t>PANDA EXPRESS TACOMA WA</t>
        </is>
      </c>
      <c r="B19" s="3">
        <f>28.49</f>
        <v/>
      </c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>
        <f>SUM(B19:M19)</f>
        <v/>
      </c>
      <c r="O19" s="1" t="inlineStr"/>
    </row>
    <row r="20">
      <c r="A20" s="1" t="inlineStr">
        <is>
          <t>SEA AIRPORT PARKING 0000 SEATTLE WA</t>
        </is>
      </c>
      <c r="B20" s="3">
        <f>98.00</f>
        <v/>
      </c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>
        <f>SUM(B20:M20)</f>
        <v/>
      </c>
      <c r="O20" s="1" t="inlineStr"/>
    </row>
    <row r="21">
      <c r="A21" s="1" t="inlineStr">
        <is>
          <t>SP ALO-YOGA COMMERCE CA</t>
        </is>
      </c>
      <c r="B21" s="3">
        <f>282.52</f>
        <v/>
      </c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>
        <f>SUM(B21:M21)</f>
        <v/>
      </c>
      <c r="O21" s="1" t="inlineStr"/>
    </row>
    <row r="22">
      <c r="A22" s="1" t="inlineStr">
        <is>
          <t>TAKASHIMA -IRVINE 0000 IRVINE CA</t>
        </is>
      </c>
      <c r="B22" s="3">
        <f>96.95</f>
        <v/>
      </c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>
        <f>SUM(B22:M22)</f>
        <v/>
      </c>
      <c r="O22" s="1" t="inlineStr"/>
    </row>
    <row r="23">
      <c r="A23" s="1" t="inlineStr">
        <is>
          <t>TEMU.COM TEMU.COM DE</t>
        </is>
      </c>
      <c r="B23" s="3">
        <f>19.48</f>
        <v/>
      </c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>
        <f>SUM(B23:M23)</f>
        <v/>
      </c>
      <c r="O23" s="1" t="inlineStr"/>
    </row>
    <row r="24">
      <c r="A24" s="1" t="inlineStr">
        <is>
          <t>WHOLE FOODS MARKET/CHB 000010588 UNIVERSITY PL WA</t>
        </is>
      </c>
      <c r="B24" s="3">
        <f>7.51</f>
        <v/>
      </c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>
        <f>SUM(B24:M24)</f>
        <v/>
      </c>
      <c r="O24" s="1" t="inlineStr">
        <is>
          <t>Grocery</t>
        </is>
      </c>
    </row>
    <row r="25">
      <c r="A25" s="1" t="inlineStr">
        <is>
          <t>WHOLEFDS CHB #10588 000010588 UNIVERSITY PL WA</t>
        </is>
      </c>
      <c r="B25" s="3">
        <f>95.44+101.98+76.47</f>
        <v/>
      </c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>
        <f>SUM(B25:M25)</f>
        <v/>
      </c>
      <c r="O25" s="1" t="inlineStr"/>
    </row>
    <row r="26">
      <c r="A26" s="1" t="inlineStr">
        <is>
          <t>Total</t>
        </is>
      </c>
      <c r="B26" s="3">
        <f>SUM(B2:B25)</f>
        <v/>
      </c>
      <c r="C26" s="3">
        <f>SUM(C2:C25)</f>
        <v/>
      </c>
      <c r="D26" s="3">
        <f>SUM(D2:D25)</f>
        <v/>
      </c>
      <c r="E26" s="3">
        <f>SUM(E2:E25)</f>
        <v/>
      </c>
      <c r="F26" s="3">
        <f>SUM(F2:F25)</f>
        <v/>
      </c>
      <c r="G26" s="3">
        <f>SUM(G2:G25)</f>
        <v/>
      </c>
      <c r="H26" s="3">
        <f>SUM(H2:H25)</f>
        <v/>
      </c>
      <c r="I26" s="3">
        <f>SUM(I2:I25)</f>
        <v/>
      </c>
      <c r="J26" s="3">
        <f>SUM(J2:J25)</f>
        <v/>
      </c>
      <c r="K26" s="3">
        <f>SUM(K2:K25)</f>
        <v/>
      </c>
      <c r="L26" s="3">
        <f>SUM(L2:L25)</f>
        <v/>
      </c>
      <c r="M26" s="3">
        <f>SUM(M2:M25)</f>
        <v/>
      </c>
      <c r="N26" s="3">
        <f>SUM(B26:M26)</f>
        <v/>
      </c>
      <c r="O26" s="1" t="inlineStr"/>
    </row>
  </sheetData>
  <autoFilter ref="A1:O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2026-04-02T16:27:43Z</dcterms:created>
  <dcterms:modified xsi:type="dcterms:W3CDTF">2026-06-16T20:52:51Z</dcterms:modified>
</cp:coreProperties>
</file>