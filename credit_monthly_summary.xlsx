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name="Chase #156" sheetId="1" state="visible" r:id="rId1"/>
    <sheet name="Chase detial #1256" sheetId="2" state="visible" r:id="rId2"/>
    <sheet name="Sheet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1" pivotButton="0" quotePrefix="0" xfId="0"/>
    <xf numFmtId="17" fontId="0" fillId="0" borderId="1" pivotButton="0" quotePrefix="0" xfId="0"/>
    <xf numFmtId="2" fontId="0" fillId="0" borderId="1" pivotButton="0" quotePrefix="0" xfId="0"/>
    <xf numFmtId="17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7"/>
  <sheetViews>
    <sheetView workbookViewId="0">
      <selection activeCell="AD16" sqref="AD16"/>
    </sheetView>
  </sheetViews>
  <sheetFormatPr baseColWidth="8" defaultRowHeight="15"/>
  <cols>
    <col width="7.85546875" bestFit="1" customWidth="1" style="5" min="1" max="1"/>
    <col width="10.42578125" bestFit="1" customWidth="1" style="5" min="2" max="2"/>
    <col width="12" bestFit="1" customWidth="1" style="5" min="3" max="3"/>
    <col width="8.7109375" bestFit="1" customWidth="1" style="5" min="4" max="4"/>
    <col width="7.7109375" bestFit="1" customWidth="1" style="5" min="5" max="5"/>
    <col width="11" bestFit="1" customWidth="1" style="5" min="6" max="6"/>
    <col width="6.5703125" bestFit="1" customWidth="1" style="5" min="7" max="7"/>
    <col width="10.42578125" bestFit="1" customWidth="1" style="5" min="8" max="8"/>
  </cols>
  <sheetData>
    <row r="1">
      <c r="A1" s="9" t="inlineStr">
        <is>
          <t>Chase #8565</t>
        </is>
      </c>
      <c r="B1" s="10" t="n"/>
      <c r="C1" s="10" t="n"/>
      <c r="D1" s="10" t="n"/>
      <c r="E1" s="10" t="n"/>
      <c r="F1" s="10" t="n"/>
      <c r="G1" s="10" t="n"/>
      <c r="H1" s="11" t="n"/>
      <c r="Z1" s="10" t="n"/>
      <c r="AA1" s="10" t="n"/>
      <c r="AB1" s="10" t="n"/>
      <c r="AC1" s="10" t="n"/>
      <c r="AD1" s="10" t="n"/>
      <c r="AE1" s="11" t="n"/>
    </row>
    <row r="2">
      <c r="A2" s="1" t="inlineStr">
        <is>
          <t>Month</t>
        </is>
      </c>
      <c r="B2" s="1" t="inlineStr">
        <is>
          <t>Begin</t>
        </is>
      </c>
      <c r="C2" t="inlineStr">
        <is>
          <t>POS Mac Amazon.Com*Bq9 Seattle WA</t>
        </is>
      </c>
      <c r="D2" t="inlineStr">
        <is>
          <t>POS Mac Amazon.Com*Au5 Seattle WA</t>
        </is>
      </c>
      <c r="E2" t="inlineStr">
        <is>
          <t>POS Mac Amazon.Com*Za2 Seattle WA</t>
        </is>
      </c>
      <c r="F2" t="inlineStr">
        <is>
          <t>POS Mac Amazon.Com*V25 Seattle WA</t>
        </is>
      </c>
      <c r="G2" t="inlineStr">
        <is>
          <t>POS Mac Amazon.Com*Ge2 Seattle WA</t>
        </is>
      </c>
      <c r="H2" t="inlineStr">
        <is>
          <t>POS Mac Amazon.Com*Mz5 Seattle WA</t>
        </is>
      </c>
      <c r="I2" t="inlineStr">
        <is>
          <t>POS Mac Amazon.Com*TN0 Seattle WA</t>
        </is>
      </c>
      <c r="J2" t="inlineStr">
        <is>
          <t>Amazon.Comseattlewa US</t>
        </is>
      </c>
      <c r="K2" t="inlineStr">
        <is>
          <t>Citi Card Onlinepayment</t>
        </is>
      </c>
      <c r="L2" t="inlineStr">
        <is>
          <t>Prog Casualty Ins Prem</t>
        </is>
      </c>
      <c r="M2" t="inlineStr">
        <is>
          <t>Credit One Bank Payment</t>
        </is>
      </c>
      <c r="N2" t="inlineStr">
        <is>
          <t>Irs Usataxpymt</t>
        </is>
      </c>
      <c r="O2" t="inlineStr">
        <is>
          <t>Amazon Prime*Zh8618Uz3 Amzn.Com/Bill WA</t>
        </is>
      </c>
      <c r="P2" t="inlineStr">
        <is>
          <t>Kindercare Portland OR</t>
        </is>
      </c>
      <c r="Q2" t="inlineStr">
        <is>
          <t>Nys Dtf Pit Tax Paymnt</t>
        </is>
      </c>
      <c r="R2" t="inlineStr">
        <is>
          <t>POS Mac Amazon.Com*Sb8 Seattle WA</t>
        </is>
      </c>
      <c r="S2" t="inlineStr">
        <is>
          <t>POS Mac Amazon.Com*9O5 Seattle WA</t>
        </is>
      </c>
      <c r="T2" t="inlineStr">
        <is>
          <t>POS Mac Amazon.Com*Nx6 Seattle WA</t>
        </is>
      </c>
      <c r="U2" t="inlineStr">
        <is>
          <t>Withdrawal Branch 0964 New York</t>
        </is>
      </c>
      <c r="V2" t="inlineStr">
        <is>
          <t>Bill Pay:Orange &amp; Rockland 136130 6Bq1P6Kr</t>
        </is>
      </c>
      <c r="W2" t="inlineStr">
        <is>
          <t>Bill Pay:Veolia Water New Y 200045 6Bu1T6Kr</t>
        </is>
      </c>
      <c r="X2" t="inlineStr">
        <is>
          <t>Internet Trf To Client-Added Transfer Account</t>
        </is>
      </c>
      <c r="Y2" t="inlineStr">
        <is>
          <t>No1 Sushi 88 Corkbbo ACH</t>
        </is>
      </c>
      <c r="Z2" s="1" t="inlineStr">
        <is>
          <t>Atm Deposit</t>
        </is>
      </c>
      <c r="AA2" s="1" t="inlineStr">
        <is>
          <t xml:space="preserve">Amazon </t>
        </is>
      </c>
      <c r="AB2" s="1" t="inlineStr">
        <is>
          <t>Other</t>
        </is>
      </c>
      <c r="AC2" s="1" t="inlineStr">
        <is>
          <t>total Credit</t>
        </is>
      </c>
      <c r="AD2" s="1" t="inlineStr">
        <is>
          <t>Debit</t>
        </is>
      </c>
      <c r="AE2" s="1" t="inlineStr">
        <is>
          <t>Ending</t>
        </is>
      </c>
    </row>
    <row r="3">
      <c r="A3" s="2" t="n">
        <v>45748</v>
      </c>
      <c r="B3" s="3" t="n">
        <v>0</v>
      </c>
      <c r="Z3" s="1" t="n"/>
      <c r="AA3" s="1" t="n"/>
      <c r="AB3" s="1" t="n"/>
      <c r="AC3" s="3">
        <f>SUM(C3:AB3)</f>
        <v/>
      </c>
      <c r="AD3" s="1">
        <f>'Chase detial #1256'!B21</f>
        <v/>
      </c>
      <c r="AE3" s="3">
        <f>B3+F3-G3</f>
        <v/>
      </c>
      <c r="AF3" t="n">
        <v>413048</v>
      </c>
      <c r="AG3" s="6">
        <f>I3-H3</f>
        <v/>
      </c>
    </row>
    <row r="4">
      <c r="A4" s="2" t="n">
        <v>45778</v>
      </c>
      <c r="B4" s="3">
        <f>H3</f>
        <v/>
      </c>
      <c r="C4" t="n">
        <v>17.59</v>
      </c>
      <c r="D4" t="n">
        <v>343.93</v>
      </c>
      <c r="E4" t="n">
        <v>40.33</v>
      </c>
      <c r="F4" t="n">
        <v>20.8</v>
      </c>
      <c r="G4" t="n">
        <v>152.14</v>
      </c>
      <c r="H4" t="n">
        <v>71.79000000000001</v>
      </c>
      <c r="I4" t="n">
        <v>50.03</v>
      </c>
      <c r="J4" t="n">
        <v>117.76</v>
      </c>
      <c r="K4" t="n">
        <v>975</v>
      </c>
      <c r="L4" t="n">
        <v>930.52</v>
      </c>
      <c r="M4" t="n">
        <v>817.29</v>
      </c>
      <c r="N4" t="n">
        <v>1600</v>
      </c>
      <c r="O4" t="n">
        <v>16.25</v>
      </c>
      <c r="P4" t="n">
        <v>610</v>
      </c>
      <c r="Q4" t="n">
        <v>400</v>
      </c>
      <c r="R4" t="n">
        <v>18.75</v>
      </c>
      <c r="S4" t="n">
        <v>26.57</v>
      </c>
      <c r="T4" t="n">
        <v>75.40000000000001</v>
      </c>
      <c r="U4" t="n">
        <v>4200</v>
      </c>
      <c r="V4" t="n">
        <v>350</v>
      </c>
      <c r="W4" t="n">
        <v>300</v>
      </c>
      <c r="X4" t="n">
        <v>1125.77</v>
      </c>
      <c r="Y4" t="n">
        <v>4000</v>
      </c>
      <c r="Z4" s="1" t="n"/>
      <c r="AA4" s="1" t="n"/>
      <c r="AB4" s="1" t="n"/>
      <c r="AC4" s="3">
        <f>SUM(C4:AB4)</f>
        <v/>
      </c>
      <c r="AD4" s="1">
        <f>'Chase detial #1256'!C21</f>
        <v/>
      </c>
      <c r="AE4" s="3">
        <f>B4+F4-G4</f>
        <v/>
      </c>
      <c r="AF4" t="n">
        <v>412604</v>
      </c>
      <c r="AG4" s="6">
        <f>I4-H4</f>
        <v/>
      </c>
    </row>
    <row r="5">
      <c r="A5" s="2" t="n">
        <v>45809</v>
      </c>
      <c r="B5" s="3">
        <f>H4</f>
        <v/>
      </c>
      <c r="Z5" s="1" t="n"/>
      <c r="AA5" s="1" t="n"/>
      <c r="AB5" s="1" t="n"/>
      <c r="AC5" s="3">
        <f>SUM(C5:AB5)</f>
        <v/>
      </c>
      <c r="AD5" s="1">
        <f>'Chase detial #1256'!D21</f>
        <v/>
      </c>
      <c r="AE5" s="3">
        <f>B5+F5-G5</f>
        <v/>
      </c>
      <c r="AF5" t="n">
        <v>425005</v>
      </c>
      <c r="AG5" s="6">
        <f>I5-H5</f>
        <v/>
      </c>
    </row>
    <row r="6">
      <c r="A6" s="2" t="n">
        <v>45839</v>
      </c>
      <c r="B6" s="3">
        <f>H5</f>
        <v/>
      </c>
      <c r="Z6" s="1" t="n"/>
      <c r="AA6" s="1" t="n"/>
      <c r="AB6" s="1" t="n"/>
      <c r="AC6" s="3">
        <f>SUM(C6:AB6)</f>
        <v/>
      </c>
      <c r="AD6" s="1">
        <f>'Chase detial #1256'!E21</f>
        <v/>
      </c>
      <c r="AE6" s="3">
        <f>B6+F6-G6</f>
        <v/>
      </c>
      <c r="AF6" t="n">
        <v>437378</v>
      </c>
      <c r="AG6" s="6">
        <f>I6-H6</f>
        <v/>
      </c>
    </row>
    <row r="7">
      <c r="A7" s="2" t="n">
        <v>45870</v>
      </c>
      <c r="B7" s="3">
        <f>H6</f>
        <v/>
      </c>
      <c r="C7" t="n">
        <v>17.59</v>
      </c>
      <c r="D7" t="n">
        <v>343.93</v>
      </c>
      <c r="E7" t="n">
        <v>40.33</v>
      </c>
      <c r="F7" t="n">
        <v>20.8</v>
      </c>
      <c r="G7" t="n">
        <v>152.14</v>
      </c>
      <c r="H7" t="n">
        <v>71.79000000000001</v>
      </c>
      <c r="I7" t="n">
        <v>50.03</v>
      </c>
      <c r="J7" t="n">
        <v>117.76</v>
      </c>
      <c r="K7" t="n">
        <v>975</v>
      </c>
      <c r="L7" t="n">
        <v>930.52</v>
      </c>
      <c r="M7" t="n">
        <v>817.29</v>
      </c>
      <c r="N7" t="n">
        <v>1600</v>
      </c>
      <c r="O7" t="n">
        <v>16.25</v>
      </c>
      <c r="P7" t="n">
        <v>610</v>
      </c>
      <c r="Q7" t="n">
        <v>400</v>
      </c>
      <c r="R7" t="n">
        <v>18.75</v>
      </c>
      <c r="S7" t="n">
        <v>26.57</v>
      </c>
      <c r="T7" t="n">
        <v>75.40000000000001</v>
      </c>
      <c r="U7" t="n">
        <v>4200</v>
      </c>
      <c r="V7" t="n">
        <v>350</v>
      </c>
      <c r="W7" t="n">
        <v>300</v>
      </c>
      <c r="X7" t="n">
        <v>1125.77</v>
      </c>
      <c r="Y7" t="n">
        <v>4000</v>
      </c>
      <c r="Z7" s="1" t="n"/>
      <c r="AA7" s="1" t="n"/>
      <c r="AB7" s="1" t="n"/>
      <c r="AC7" s="3">
        <f>SUM(C7:AB7)</f>
        <v/>
      </c>
      <c r="AD7" s="1">
        <f>'Chase detial #1256'!F21</f>
        <v/>
      </c>
      <c r="AE7" s="3">
        <f>B7+F7-G7</f>
        <v/>
      </c>
      <c r="AF7" t="n">
        <v>438873</v>
      </c>
      <c r="AG7" s="6">
        <f>I7-H7</f>
        <v/>
      </c>
    </row>
    <row r="8">
      <c r="A8" s="2" t="n">
        <v>45901</v>
      </c>
      <c r="B8" s="3">
        <f>H7</f>
        <v/>
      </c>
      <c r="Z8" s="1" t="n"/>
      <c r="AA8" s="1" t="n"/>
      <c r="AB8" s="1" t="n"/>
      <c r="AC8" s="3">
        <f>SUM(C8:AB8)</f>
        <v/>
      </c>
      <c r="AD8" s="1">
        <f>'Chase detial #1256'!G21</f>
        <v/>
      </c>
      <c r="AE8" s="3">
        <f>B8+F8-G8</f>
        <v/>
      </c>
      <c r="AF8" t="n">
        <v>438831</v>
      </c>
      <c r="AG8" s="6">
        <f>I8-H8</f>
        <v/>
      </c>
    </row>
    <row r="9">
      <c r="A9" s="2" t="n">
        <v>45931</v>
      </c>
      <c r="B9" s="3">
        <f>H8</f>
        <v/>
      </c>
      <c r="Z9" s="1" t="n"/>
      <c r="AA9" s="1" t="n"/>
      <c r="AB9" s="1" t="n"/>
      <c r="AC9" s="3">
        <f>SUM(C9:AB9)</f>
        <v/>
      </c>
      <c r="AD9" s="1">
        <f>'Chase detial #1256'!H21</f>
        <v/>
      </c>
      <c r="AE9" s="3">
        <f>B9+F9-G9</f>
        <v/>
      </c>
      <c r="AF9" t="n">
        <v>592012</v>
      </c>
      <c r="AG9" s="6">
        <f>I9-H9</f>
        <v/>
      </c>
    </row>
    <row r="10">
      <c r="A10" s="2" t="n">
        <v>45962</v>
      </c>
      <c r="B10" s="3">
        <f>H9</f>
        <v/>
      </c>
      <c r="Z10" s="1" t="n"/>
      <c r="AA10" s="1" t="n"/>
      <c r="AB10" s="1" t="n"/>
      <c r="AC10" s="3">
        <f>SUM(C10:AB10)</f>
        <v/>
      </c>
      <c r="AD10" s="1">
        <f>'Chase detial #1256'!I21</f>
        <v/>
      </c>
      <c r="AE10" s="3">
        <f>B10+F10-G10</f>
        <v/>
      </c>
      <c r="AF10" t="n">
        <v>579559</v>
      </c>
      <c r="AG10" s="6">
        <f>I10-H10</f>
        <v/>
      </c>
    </row>
    <row r="11">
      <c r="A11" s="2" t="n">
        <v>45992</v>
      </c>
      <c r="B11" s="3">
        <f>H10</f>
        <v/>
      </c>
      <c r="Z11" s="1" t="n"/>
      <c r="AA11" s="1" t="n"/>
      <c r="AB11" s="1" t="n"/>
      <c r="AC11" s="3">
        <f>SUM(C11:AB11)</f>
        <v/>
      </c>
      <c r="AD11" s="1">
        <f>'Chase detial #1256'!J21</f>
        <v/>
      </c>
      <c r="AE11" s="3">
        <f>B11+F11-G11</f>
        <v/>
      </c>
      <c r="AF11" t="n">
        <v>703255</v>
      </c>
      <c r="AG11" s="6">
        <f>I11-H11</f>
        <v/>
      </c>
    </row>
    <row r="12">
      <c r="A12" s="2" t="n">
        <v>46023</v>
      </c>
      <c r="B12" s="3">
        <f>H11</f>
        <v/>
      </c>
      <c r="Z12" s="1" t="n"/>
      <c r="AA12" s="1" t="n"/>
      <c r="AB12" s="1" t="n"/>
      <c r="AC12" s="3">
        <f>SUM(C12:AB12)</f>
        <v/>
      </c>
      <c r="AD12" s="1">
        <f>'Chase detial #1256'!K21</f>
        <v/>
      </c>
      <c r="AE12" s="3">
        <f>B12+F12-G12</f>
        <v/>
      </c>
      <c r="AF12" t="n">
        <v>698719</v>
      </c>
      <c r="AG12" s="6">
        <f>I12-H12</f>
        <v/>
      </c>
    </row>
    <row r="13">
      <c r="A13" s="2" t="n">
        <v>46054</v>
      </c>
      <c r="B13" s="3">
        <f>H12</f>
        <v/>
      </c>
      <c r="Z13" s="1" t="n"/>
      <c r="AA13" s="1" t="n"/>
      <c r="AB13" s="1" t="n"/>
      <c r="AC13" s="3">
        <f>SUM(C13:AB13)</f>
        <v/>
      </c>
      <c r="AD13" s="1">
        <f>'Chase detial #1256'!L21</f>
        <v/>
      </c>
      <c r="AE13" s="3">
        <f>B13+F13-G13</f>
        <v/>
      </c>
      <c r="AF13" t="n">
        <v>713229</v>
      </c>
      <c r="AG13" s="6">
        <f>I13-H13</f>
        <v/>
      </c>
    </row>
    <row r="14">
      <c r="A14" s="2" t="n">
        <v>46082</v>
      </c>
      <c r="B14" s="3">
        <f>H13</f>
        <v/>
      </c>
      <c r="Z14" s="1" t="n"/>
      <c r="AA14" s="1" t="n"/>
      <c r="AB14" s="1" t="n"/>
      <c r="AC14" s="3">
        <f>SUM(C14:AB14)</f>
        <v/>
      </c>
      <c r="AD14" s="1">
        <f>'Chase detial #1256'!M21</f>
        <v/>
      </c>
      <c r="AE14" s="3">
        <f>B14+F14-G14</f>
        <v/>
      </c>
      <c r="AF14" t="n">
        <v>716586</v>
      </c>
      <c r="AG14" s="6">
        <f>I14-H14</f>
        <v/>
      </c>
    </row>
    <row r="15">
      <c r="A15" s="2" t="inlineStr">
        <is>
          <t>Total</t>
        </is>
      </c>
      <c r="B15" s="2" t="n"/>
      <c r="C15" s="6">
        <f>SUM(C3:C14)</f>
        <v/>
      </c>
      <c r="D15" s="6">
        <f>SUM(D3:D14)</f>
        <v/>
      </c>
      <c r="E15" s="6">
        <f>SUM(E3:E14)</f>
        <v/>
      </c>
      <c r="F15" s="6">
        <f>SUM(F3:F14)</f>
        <v/>
      </c>
      <c r="G15" s="6">
        <f>SUM(G3:G14)</f>
        <v/>
      </c>
      <c r="H15" s="6">
        <f>SUM(H3:H14)</f>
        <v/>
      </c>
      <c r="I15" s="6">
        <f>SUM(I3:I14)</f>
        <v/>
      </c>
      <c r="J15" s="6">
        <f>SUM(J3:J14)</f>
        <v/>
      </c>
      <c r="K15" s="6">
        <f>SUM(K3:K14)</f>
        <v/>
      </c>
      <c r="L15" s="6">
        <f>SUM(L3:L14)</f>
        <v/>
      </c>
      <c r="M15" s="6">
        <f>SUM(M3:M14)</f>
        <v/>
      </c>
      <c r="N15" s="6">
        <f>SUM(N3:N14)</f>
        <v/>
      </c>
      <c r="O15" s="6">
        <f>SUM(O3:O14)</f>
        <v/>
      </c>
      <c r="P15" s="6">
        <f>SUM(P3:P14)</f>
        <v/>
      </c>
      <c r="Q15" s="6">
        <f>SUM(Q3:Q14)</f>
        <v/>
      </c>
      <c r="R15" s="6">
        <f>SUM(R3:R14)</f>
        <v/>
      </c>
      <c r="S15" s="6">
        <f>SUM(S3:S14)</f>
        <v/>
      </c>
      <c r="T15" s="6">
        <f>SUM(T3:T14)</f>
        <v/>
      </c>
      <c r="U15" s="6">
        <f>SUM(U3:U14)</f>
        <v/>
      </c>
      <c r="V15" s="6">
        <f>SUM(V3:V14)</f>
        <v/>
      </c>
      <c r="W15" s="6">
        <f>SUM(W3:W14)</f>
        <v/>
      </c>
      <c r="X15" s="6">
        <f>SUM(X3:X14)</f>
        <v/>
      </c>
      <c r="Y15" s="6">
        <f>SUM(Y3:Y14)</f>
        <v/>
      </c>
      <c r="Z15" s="3">
        <f>SUM(Z3:Z14)</f>
        <v/>
      </c>
      <c r="AA15" s="3">
        <f>SUM(AA3:AA14)</f>
        <v/>
      </c>
      <c r="AB15" s="3">
        <f>SUM(AB3:AB14)</f>
        <v/>
      </c>
      <c r="AC15" s="3">
        <f>SUM(AC3:AC14)</f>
        <v/>
      </c>
      <c r="AD15" s="3">
        <f>SUM(AD3:AD14)</f>
        <v/>
      </c>
      <c r="AE15" s="1" t="n"/>
    </row>
    <row r="16">
      <c r="A16" s="4" t="n"/>
      <c r="B16" s="4" t="n"/>
    </row>
    <row r="17">
      <c r="A17" t="inlineStr">
        <is>
          <t>eRIC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tabSelected="1" workbookViewId="0">
      <selection activeCell="A29" sqref="A29:A36"/>
    </sheetView>
  </sheetViews>
  <sheetFormatPr baseColWidth="8" defaultRowHeight="15"/>
  <cols>
    <col width="12.28515625" bestFit="1" customWidth="1" style="5" min="1" max="1"/>
    <col width="7.140625" bestFit="1" customWidth="1" style="5" min="2" max="2"/>
    <col width="7.85546875" bestFit="1" customWidth="1" style="5" min="3" max="3"/>
    <col width="6.85546875" bestFit="1" customWidth="1" style="5" min="4" max="4"/>
    <col width="6.28515625" bestFit="1" customWidth="1" style="5" min="5" max="5"/>
    <col width="7.28515625" bestFit="1" customWidth="1" style="5" min="6" max="6"/>
    <col width="7.140625" bestFit="1" customWidth="1" style="5" min="7" max="7"/>
    <col width="7" bestFit="1" customWidth="1" style="5" min="8" max="8"/>
    <col width="7.42578125" bestFit="1" customWidth="1" style="5" min="9" max="9"/>
    <col width="7.28515625" bestFit="1" customWidth="1" style="5" min="10" max="10"/>
    <col width="6.85546875" bestFit="1" customWidth="1" style="5" min="11" max="11"/>
    <col width="7.140625" bestFit="1" customWidth="1" style="5" min="12" max="12"/>
    <col width="7.5703125" bestFit="1" customWidth="1" style="5" min="13" max="13"/>
    <col width="6.85546875" bestFit="1" customWidth="1" style="5" min="14" max="14"/>
    <col width="10.5703125" bestFit="1" customWidth="1" style="5" min="15" max="15"/>
  </cols>
  <sheetData>
    <row r="1">
      <c r="A1" s="1">
        <f>'Chase #156'!A1</f>
        <v/>
      </c>
      <c r="B1" s="2">
        <f>'Chase #156'!A3</f>
        <v/>
      </c>
      <c r="C1" s="2">
        <f>'Chase #156'!A4</f>
        <v/>
      </c>
      <c r="D1" s="2">
        <f>'Chase #156'!A5</f>
        <v/>
      </c>
      <c r="E1" s="2">
        <f>'Chase #156'!A6</f>
        <v/>
      </c>
      <c r="F1" s="2">
        <f>'Chase #156'!A7</f>
        <v/>
      </c>
      <c r="G1" s="2">
        <f>'Chase #156'!A8</f>
        <v/>
      </c>
      <c r="H1" s="2">
        <f>'Chase #156'!A9</f>
        <v/>
      </c>
      <c r="I1" s="2">
        <f>'Chase #156'!A10</f>
        <v/>
      </c>
      <c r="J1" s="2">
        <f>'Chase #156'!A11</f>
        <v/>
      </c>
      <c r="K1" s="2">
        <f>'Chase #156'!A12</f>
        <v/>
      </c>
      <c r="L1" s="2">
        <f>'Chase #156'!A13</f>
        <v/>
      </c>
      <c r="M1" s="2">
        <f>'Chase #156'!A14</f>
        <v/>
      </c>
      <c r="N1" s="2" t="inlineStr">
        <is>
          <t>TOTAL</t>
        </is>
      </c>
      <c r="O1" s="2" t="inlineStr">
        <is>
          <t>CATEGORY</t>
        </is>
      </c>
    </row>
    <row r="2">
      <c r="A2" s="1" t="inlineStr">
        <is>
          <t>AMAOZN</t>
        </is>
      </c>
      <c r="B2" s="1" t="n"/>
      <c r="C2" s="1">
        <f>117.76+50.03+71.79+152.14+20.80+40.33+343.93+17.59</f>
        <v/>
      </c>
      <c r="D2" s="1" t="n"/>
      <c r="E2" s="1" t="n"/>
      <c r="F2" s="1">
        <f>117.76+50.03+71.79+152.14+20.80+40.33+343.93+17.59</f>
        <v/>
      </c>
      <c r="G2" s="1" t="n"/>
      <c r="H2" s="1" t="n"/>
      <c r="I2" s="1" t="n"/>
      <c r="J2" s="1" t="n"/>
      <c r="K2" s="1" t="n"/>
      <c r="L2" s="1" t="n"/>
      <c r="M2" s="1" t="n"/>
      <c r="N2" s="3">
        <f>SUM(B2,C2,D2,E2,F2,G2,H2,I2,J2,K2,L2,M2)</f>
        <v/>
      </c>
      <c r="O2" s="1" t="inlineStr">
        <is>
          <t>SUPPLY</t>
        </is>
      </c>
    </row>
    <row r="3">
      <c r="A3" s="1" t="inlineStr">
        <is>
          <t>TAREGE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3">
        <f>SUM(B3,C3,D3,E3,F3,G3,H3,I3,J3,K3,L3,M3)</f>
        <v/>
      </c>
      <c r="O3" s="1" t="inlineStr">
        <is>
          <t>GASOLINE</t>
        </is>
      </c>
    </row>
    <row r="4">
      <c r="A4" s="1" t="inlineStr">
        <is>
          <t>CUBE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3">
        <f>SUM(B4,C4,D4,E4,F4,G4,H4,I4,J4,K4,L4,M4)</f>
        <v/>
      </c>
      <c r="O4" s="1" t="inlineStr">
        <is>
          <t>SUPRER</t>
        </is>
      </c>
    </row>
    <row r="5">
      <c r="A5" s="1" t="inlineStr">
        <is>
          <t>AGASD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3">
        <f>SUM(B5,C5,D5,E5,F5,G5,H5,I5,J5,K5,L5,M5)</f>
        <v/>
      </c>
      <c r="O5" s="1" t="inlineStr">
        <is>
          <t>SUPPLY</t>
        </is>
      </c>
    </row>
    <row r="6">
      <c r="A6" s="1" t="inlineStr">
        <is>
          <t>No1 Sushi 88 Corkbbo ACH</t>
        </is>
      </c>
      <c r="B6" s="1" t="n"/>
      <c r="C6" s="3">
        <f>4000</f>
        <v/>
      </c>
      <c r="D6" s="1" t="n"/>
      <c r="E6" s="1" t="n"/>
      <c r="F6" s="3">
        <f>4000</f>
        <v/>
      </c>
      <c r="G6" s="1" t="n"/>
      <c r="H6" s="1" t="n"/>
      <c r="I6" s="1" t="n"/>
      <c r="J6" s="1" t="n"/>
      <c r="K6" s="1" t="n"/>
      <c r="L6" s="1" t="n"/>
      <c r="M6" s="1" t="n"/>
      <c r="N6" s="3">
        <f>SUM(B6,C6,D6,E6,F6,G6,H6,I6,J6,K6,L6,M6)</f>
        <v/>
      </c>
      <c r="O6" s="1" t="inlineStr">
        <is>
          <t>REVIEW</t>
        </is>
      </c>
    </row>
    <row r="7">
      <c r="A7" s="1" t="inlineStr">
        <is>
          <t>Internet Trf To Client-Added Transfer Account</t>
        </is>
      </c>
      <c r="B7" s="1" t="n"/>
      <c r="C7" s="3">
        <f>385.77+740</f>
        <v/>
      </c>
      <c r="D7" s="1" t="n"/>
      <c r="E7" s="1" t="n"/>
      <c r="F7" s="3">
        <f>385.77+740</f>
        <v/>
      </c>
      <c r="G7" s="1" t="n"/>
      <c r="H7" s="1" t="n"/>
      <c r="I7" s="1" t="n"/>
      <c r="J7" s="1" t="n"/>
      <c r="K7" s="1" t="n"/>
      <c r="L7" s="1" t="n"/>
      <c r="M7" s="1" t="n"/>
      <c r="N7" s="3">
        <f>SUM(B7,C7,D7,E7,F7,G7,H7,I7,J7,K7,L7,M7)</f>
        <v/>
      </c>
      <c r="O7" s="1" t="inlineStr">
        <is>
          <t>REVIEW</t>
        </is>
      </c>
    </row>
    <row r="8">
      <c r="A8" s="1" t="inlineStr">
        <is>
          <t>Bill Pay:Veolia Water New Y 200045 6Bu1T6Kr</t>
        </is>
      </c>
      <c r="B8" s="1" t="n"/>
      <c r="C8" s="3">
        <f>300</f>
        <v/>
      </c>
      <c r="D8" s="1" t="n"/>
      <c r="E8" s="1" t="n"/>
      <c r="F8" s="3">
        <f>300</f>
        <v/>
      </c>
      <c r="G8" s="1" t="n"/>
      <c r="H8" s="1" t="n"/>
      <c r="I8" s="1" t="n"/>
      <c r="J8" s="1" t="n"/>
      <c r="K8" s="1" t="n"/>
      <c r="L8" s="1" t="n"/>
      <c r="M8" s="1" t="n"/>
      <c r="N8" s="3">
        <f>SUM(B8,C8,D8,E8,F8,G8,H8,I8,J8,K8,L8,M8)</f>
        <v/>
      </c>
      <c r="O8" s="1" t="inlineStr">
        <is>
          <t>REVIEW</t>
        </is>
      </c>
    </row>
    <row r="9">
      <c r="A9" s="1" t="inlineStr">
        <is>
          <t>Bill Pay:Orange &amp; Rockland 136130 6Bq1P6Kr</t>
        </is>
      </c>
      <c r="B9" s="1" t="n"/>
      <c r="C9" s="3">
        <f>350</f>
        <v/>
      </c>
      <c r="D9" s="1" t="n"/>
      <c r="E9" s="1" t="n"/>
      <c r="F9" s="3">
        <f>350</f>
        <v/>
      </c>
      <c r="G9" s="1" t="n"/>
      <c r="H9" s="1" t="n"/>
      <c r="I9" s="1" t="n"/>
      <c r="J9" s="1" t="n"/>
      <c r="K9" s="1" t="n"/>
      <c r="L9" s="1" t="n"/>
      <c r="M9" s="1" t="n"/>
      <c r="N9" s="3">
        <f>SUM(B9,C9,D9,E9,F9,G9,H9,I9,J9,K9,L9,M9)</f>
        <v/>
      </c>
      <c r="O9" s="1" t="inlineStr">
        <is>
          <t>REVIEW</t>
        </is>
      </c>
    </row>
    <row r="10">
      <c r="A10" s="1" t="inlineStr">
        <is>
          <t>Withdrawal Branch 0964 New York</t>
        </is>
      </c>
      <c r="B10" s="1" t="n"/>
      <c r="C10" s="3">
        <f>1000+3200</f>
        <v/>
      </c>
      <c r="D10" s="1" t="n"/>
      <c r="E10" s="1" t="n"/>
      <c r="F10" s="3">
        <f>1000+3200</f>
        <v/>
      </c>
      <c r="G10" s="1" t="n"/>
      <c r="H10" s="1" t="n"/>
      <c r="I10" s="1" t="n"/>
      <c r="J10" s="1" t="n"/>
      <c r="K10" s="1" t="n"/>
      <c r="L10" s="1" t="n"/>
      <c r="M10" s="1" t="n"/>
      <c r="N10" s="3">
        <f>SUM(B10,C10,D10,E10,F10,G10,H10,I10,J10,K10,L10,M10)</f>
        <v/>
      </c>
      <c r="O10" s="1" t="inlineStr">
        <is>
          <t>REVIEW</t>
        </is>
      </c>
    </row>
    <row r="11">
      <c r="A11" s="1" t="inlineStr">
        <is>
          <t>POS Mac Amazon.Com*Nx6 Seattle WA</t>
        </is>
      </c>
      <c r="B11" s="1" t="n"/>
      <c r="C11" s="3">
        <f>75.4</f>
        <v/>
      </c>
      <c r="D11" s="1" t="n"/>
      <c r="E11" s="1" t="n"/>
      <c r="F11" s="3">
        <f>75.4</f>
        <v/>
      </c>
      <c r="G11" s="1" t="n"/>
      <c r="H11" s="1" t="n"/>
      <c r="I11" s="1" t="n"/>
      <c r="J11" s="1" t="n"/>
      <c r="K11" s="1" t="n"/>
      <c r="L11" s="1" t="n"/>
      <c r="M11" s="1" t="n"/>
      <c r="N11" s="3">
        <f>SUM(B11,C11,D11,E11,F11,G11,H11,I11,J11,K11,L11,M11)</f>
        <v/>
      </c>
      <c r="O11" s="1" t="inlineStr">
        <is>
          <t>REVIEW</t>
        </is>
      </c>
    </row>
    <row r="12">
      <c r="A12" s="1" t="inlineStr">
        <is>
          <t>POS Mac Amazon.Com*9O5 Seattle WA</t>
        </is>
      </c>
      <c r="B12" s="1" t="n"/>
      <c r="C12" s="3">
        <f>26.57</f>
        <v/>
      </c>
      <c r="D12" s="1" t="n"/>
      <c r="E12" s="1" t="n"/>
      <c r="F12" s="3">
        <f>26.57</f>
        <v/>
      </c>
      <c r="G12" s="1" t="n"/>
      <c r="H12" s="1" t="n"/>
      <c r="I12" s="1" t="n"/>
      <c r="J12" s="1" t="n"/>
      <c r="K12" s="1" t="n"/>
      <c r="L12" s="1" t="n"/>
      <c r="M12" s="1" t="n"/>
      <c r="N12" s="3">
        <f>SUM(B12,C12,D12,E12,F12,G12,H12,I12,J12,K12,L12,M12)</f>
        <v/>
      </c>
      <c r="O12" s="1" t="inlineStr">
        <is>
          <t>REVIEW</t>
        </is>
      </c>
    </row>
    <row r="13">
      <c r="A13" s="1" t="inlineStr">
        <is>
          <t>POS Mac Amazon.Com*Sb8 Seattle WA</t>
        </is>
      </c>
      <c r="B13" s="1" t="n"/>
      <c r="C13" s="3">
        <f>18.75</f>
        <v/>
      </c>
      <c r="D13" s="1" t="n"/>
      <c r="E13" s="1" t="n"/>
      <c r="F13" s="3">
        <f>18.75</f>
        <v/>
      </c>
      <c r="G13" s="1" t="n"/>
      <c r="H13" s="1" t="n"/>
      <c r="I13" s="1" t="n"/>
      <c r="J13" s="1" t="n"/>
      <c r="K13" s="1" t="n"/>
      <c r="L13" s="1" t="n"/>
      <c r="M13" s="1" t="n"/>
      <c r="N13" s="3">
        <f>SUM(B13,C13,D13,E13,F13,G13,H13,I13,J13,K13,L13,M13)</f>
        <v/>
      </c>
      <c r="O13" s="1" t="inlineStr">
        <is>
          <t>REVIEW</t>
        </is>
      </c>
    </row>
    <row r="14">
      <c r="A14" s="1" t="inlineStr">
        <is>
          <t>Nys Dtf Pit Tax Paymnt</t>
        </is>
      </c>
      <c r="B14" s="1" t="n"/>
      <c r="C14" s="3">
        <f>200+200</f>
        <v/>
      </c>
      <c r="D14" s="1" t="n"/>
      <c r="E14" s="1" t="n"/>
      <c r="F14" s="3">
        <f>200+200</f>
        <v/>
      </c>
      <c r="G14" s="1" t="n"/>
      <c r="H14" s="1" t="n"/>
      <c r="I14" s="1" t="n"/>
      <c r="J14" s="1" t="n"/>
      <c r="K14" s="1" t="n"/>
      <c r="L14" s="1" t="n"/>
      <c r="M14" s="1" t="n"/>
      <c r="N14" s="3">
        <f>SUM(B14,C14,D14,E14,F14,G14,H14,I14,J14,K14,L14,M14)</f>
        <v/>
      </c>
      <c r="O14" s="1" t="inlineStr">
        <is>
          <t>REVIEW</t>
        </is>
      </c>
    </row>
    <row r="15">
      <c r="A15" s="1" t="inlineStr">
        <is>
          <t>Kindercare Portland OR</t>
        </is>
      </c>
      <c r="B15" s="1" t="n"/>
      <c r="C15" s="3">
        <f>490+120</f>
        <v/>
      </c>
      <c r="D15" s="1" t="n"/>
      <c r="E15" s="1" t="n"/>
      <c r="F15" s="3">
        <f>490+120</f>
        <v/>
      </c>
      <c r="G15" s="1" t="n"/>
      <c r="H15" s="1" t="n"/>
      <c r="I15" s="1" t="n"/>
      <c r="J15" s="1" t="n"/>
      <c r="K15" s="1" t="n"/>
      <c r="L15" s="1" t="n"/>
      <c r="M15" s="1" t="n"/>
      <c r="N15" s="3">
        <f>SUM(B15,C15,D15,E15,F15,G15,H15,I15,J15,K15,L15,M15)</f>
        <v/>
      </c>
      <c r="O15" s="1" t="inlineStr">
        <is>
          <t>REVIEW</t>
        </is>
      </c>
    </row>
    <row r="16">
      <c r="A16" s="1" t="inlineStr">
        <is>
          <t>Amazon Prime*Zh8618Uz3 Amzn.Com/Bill WA</t>
        </is>
      </c>
      <c r="B16" s="1" t="n"/>
      <c r="C16" s="3">
        <f>16.25</f>
        <v/>
      </c>
      <c r="D16" s="1" t="n"/>
      <c r="E16" s="1" t="n"/>
      <c r="F16" s="3">
        <f>16.25</f>
        <v/>
      </c>
      <c r="G16" s="1" t="n"/>
      <c r="H16" s="1" t="n"/>
      <c r="I16" s="1" t="n"/>
      <c r="J16" s="1" t="n"/>
      <c r="K16" s="1" t="n"/>
      <c r="L16" s="1" t="n"/>
      <c r="M16" s="1" t="n"/>
      <c r="N16" s="3">
        <f>SUM(B16,C16,D16,E16,F16,G16,H16,I16,J16,K16,L16,M16)</f>
        <v/>
      </c>
      <c r="O16" s="1" t="inlineStr">
        <is>
          <t>REVIEW</t>
        </is>
      </c>
    </row>
    <row r="17">
      <c r="A17" s="1" t="inlineStr">
        <is>
          <t>Irs Usataxpymt</t>
        </is>
      </c>
      <c r="B17" s="1" t="n"/>
      <c r="C17" s="3">
        <f>800+800</f>
        <v/>
      </c>
      <c r="D17" s="1" t="n"/>
      <c r="E17" s="1" t="n"/>
      <c r="F17" s="3">
        <f>800+800</f>
        <v/>
      </c>
      <c r="G17" s="1" t="n"/>
      <c r="H17" s="1" t="n"/>
      <c r="I17" s="1" t="n"/>
      <c r="J17" s="1" t="n"/>
      <c r="K17" s="1" t="n"/>
      <c r="L17" s="1" t="n"/>
      <c r="M17" s="1" t="n"/>
      <c r="N17" s="3">
        <f>SUM(B17,C17,D17,E17,F17,G17,H17,I17,J17,K17,L17,M17)</f>
        <v/>
      </c>
      <c r="O17" s="1" t="inlineStr">
        <is>
          <t>REVIEW</t>
        </is>
      </c>
    </row>
    <row r="18">
      <c r="A18" s="1" t="inlineStr">
        <is>
          <t>Credit One Bank Payment</t>
        </is>
      </c>
      <c r="B18" s="1" t="n"/>
      <c r="C18" s="3">
        <f>817.29</f>
        <v/>
      </c>
      <c r="D18" s="1" t="n"/>
      <c r="E18" s="1" t="n"/>
      <c r="F18" s="3">
        <f>817.29</f>
        <v/>
      </c>
      <c r="G18" s="1" t="n"/>
      <c r="H18" s="1" t="n"/>
      <c r="I18" s="1" t="n"/>
      <c r="J18" s="1" t="n"/>
      <c r="K18" s="1" t="n"/>
      <c r="L18" s="1" t="n"/>
      <c r="M18" s="1" t="n"/>
      <c r="N18" s="3">
        <f>SUM(B18,C18,D18,E18,F18,G18,H18,I18,J18,K18,L18,M18)</f>
        <v/>
      </c>
      <c r="O18" s="1" t="inlineStr">
        <is>
          <t>REVIEW</t>
        </is>
      </c>
    </row>
    <row r="19">
      <c r="A19" s="1" t="inlineStr">
        <is>
          <t>Prog Casualty Ins Prem</t>
        </is>
      </c>
      <c r="B19" s="1" t="n"/>
      <c r="C19" s="3">
        <f>930.52</f>
        <v/>
      </c>
      <c r="D19" s="1" t="n"/>
      <c r="E19" s="1" t="n"/>
      <c r="F19" s="3">
        <f>930.52</f>
        <v/>
      </c>
      <c r="G19" s="1" t="n"/>
      <c r="H19" s="1" t="n"/>
      <c r="I19" s="1" t="n"/>
      <c r="J19" s="1" t="n"/>
      <c r="K19" s="1" t="n"/>
      <c r="L19" s="1" t="n"/>
      <c r="M19" s="1" t="n"/>
      <c r="N19" s="3">
        <f>SUM(B19,C19,D19,E19,F19,G19,H19,I19,J19,K19,L19,M19)</f>
        <v/>
      </c>
      <c r="O19" s="1" t="inlineStr">
        <is>
          <t>REVIEW</t>
        </is>
      </c>
    </row>
    <row r="20">
      <c r="A20" s="1" t="inlineStr">
        <is>
          <t>Citi Card Onlinepayment</t>
        </is>
      </c>
      <c r="B20" s="1" t="n"/>
      <c r="C20" s="3">
        <f>975</f>
        <v/>
      </c>
      <c r="D20" s="1" t="n"/>
      <c r="E20" s="1" t="n"/>
      <c r="F20" s="3">
        <f>975</f>
        <v/>
      </c>
      <c r="G20" s="1" t="n"/>
      <c r="H20" s="1" t="n"/>
      <c r="I20" s="1" t="n"/>
      <c r="J20" s="1" t="n"/>
      <c r="K20" s="1" t="n"/>
      <c r="L20" s="1" t="n"/>
      <c r="M20" s="1" t="n"/>
      <c r="N20" s="3">
        <f>SUM(B20,C20,D20,E20,F20,G20,H20,I20,J20,K20,L20,M20)</f>
        <v/>
      </c>
      <c r="O20" s="1" t="inlineStr">
        <is>
          <t>REVIEW</t>
        </is>
      </c>
    </row>
    <row r="21">
      <c r="A21" s="1" t="inlineStr">
        <is>
          <t>Total</t>
        </is>
      </c>
      <c r="B21" s="3">
        <f>SUM(B2:B20)</f>
        <v/>
      </c>
      <c r="C21" s="3">
        <f>SUM(C2:C20)</f>
        <v/>
      </c>
      <c r="D21" s="3">
        <f>SUM(D2:D20)</f>
        <v/>
      </c>
      <c r="E21" s="3">
        <f>SUM(E2:E20)</f>
        <v/>
      </c>
      <c r="F21" s="3">
        <f>SUM(F2:F20)</f>
        <v/>
      </c>
      <c r="G21" s="3">
        <f>SUM(G2:G20)</f>
        <v/>
      </c>
      <c r="H21" s="3">
        <f>SUM(H2:H20)</f>
        <v/>
      </c>
      <c r="I21" s="3">
        <f>SUM(I2:I20)</f>
        <v/>
      </c>
      <c r="J21" s="3">
        <f>SUM(J2:J20)</f>
        <v/>
      </c>
      <c r="K21" s="3">
        <f>SUM(K2:K20)</f>
        <v/>
      </c>
      <c r="L21" s="3">
        <f>SUM(L2:L20)</f>
        <v/>
      </c>
      <c r="M21" s="3">
        <f>SUM(M2:M20)</f>
        <v/>
      </c>
      <c r="N21" s="3">
        <f>SUM(B21,C21,D21,E21,F21,G21,H21,I21,J21,K21,L21,M21)</f>
        <v/>
      </c>
      <c r="O21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topLeftCell="A2" workbookViewId="0">
      <selection activeCell="D57" sqref="D57:D58"/>
    </sheetView>
  </sheetViews>
  <sheetFormatPr baseColWidth="8" defaultRowHeight="15"/>
  <cols>
    <col width="12.28515625" bestFit="1" customWidth="1" style="5" min="1" max="1"/>
    <col width="7.140625" bestFit="1" customWidth="1" style="5" min="2" max="2"/>
    <col width="7.85546875" bestFit="1" customWidth="1" style="5" min="3" max="3"/>
    <col width="6.85546875" bestFit="1" customWidth="1" style="5" min="4" max="4"/>
    <col width="6.28515625" bestFit="1" customWidth="1" style="5" min="5" max="5"/>
    <col width="7.28515625" bestFit="1" customWidth="1" style="5" min="6" max="6"/>
    <col width="7.140625" bestFit="1" customWidth="1" style="5" min="7" max="7"/>
    <col width="7" bestFit="1" customWidth="1" style="5" min="8" max="8"/>
    <col width="7.42578125" bestFit="1" customWidth="1" style="5" min="9" max="9"/>
    <col width="7.28515625" bestFit="1" customWidth="1" style="5" min="10" max="10"/>
    <col width="6.85546875" bestFit="1" customWidth="1" style="5" min="11" max="11"/>
    <col width="7.140625" bestFit="1" customWidth="1" style="5" min="12" max="12"/>
    <col width="7.5703125" bestFit="1" customWidth="1" style="5" min="13" max="13"/>
    <col width="6.85546875" bestFit="1" customWidth="1" style="5" min="14" max="14"/>
    <col width="10.5703125" bestFit="1" customWidth="1" style="5" min="15" max="15"/>
  </cols>
  <sheetData>
    <row r="1">
      <c r="A1" s="1">
        <f>'Chase #156'!A1</f>
        <v/>
      </c>
      <c r="B1" s="2">
        <f>'Chase #156'!A3</f>
        <v/>
      </c>
      <c r="C1" s="2">
        <f>'Chase #156'!A4</f>
        <v/>
      </c>
      <c r="D1" s="2">
        <f>'Chase #156'!A5</f>
        <v/>
      </c>
      <c r="E1" s="2">
        <f>'Chase #156'!A6</f>
        <v/>
      </c>
      <c r="F1" s="2">
        <f>'Chase #156'!A7</f>
        <v/>
      </c>
      <c r="G1" s="2">
        <f>'Chase #156'!A8</f>
        <v/>
      </c>
      <c r="H1" s="2">
        <f>'Chase #156'!A9</f>
        <v/>
      </c>
      <c r="I1" s="2">
        <f>'Chase #156'!A10</f>
        <v/>
      </c>
      <c r="J1" s="2">
        <f>'Chase #156'!A11</f>
        <v/>
      </c>
      <c r="K1" s="2">
        <f>'Chase #156'!A12</f>
        <v/>
      </c>
      <c r="L1" s="2">
        <f>'Chase #156'!A13</f>
        <v/>
      </c>
      <c r="M1" s="2">
        <f>'Chase #156'!A14</f>
        <v/>
      </c>
      <c r="N1" s="2" t="inlineStr">
        <is>
          <t>TOTAL</t>
        </is>
      </c>
      <c r="O1" s="2" t="inlineStr">
        <is>
          <t>CATEGORY</t>
        </is>
      </c>
      <c r="P1" s="4" t="n">
        <v>46113</v>
      </c>
    </row>
    <row r="2">
      <c r="A2" s="1" t="inlineStr">
        <is>
          <t>AMAOZN</t>
        </is>
      </c>
      <c r="B2" s="1" t="n"/>
      <c r="C2" s="1" t="n"/>
      <c r="D2" s="1" t="n"/>
      <c r="E2" s="1" t="n"/>
      <c r="F2" s="1">
        <f>117.76+50.03+71.79+152.14+20.80+40.33+343.93+17.59</f>
        <v/>
      </c>
      <c r="G2" s="1" t="n"/>
      <c r="H2" s="1" t="n"/>
      <c r="I2" s="1" t="n"/>
      <c r="J2" s="1">
        <f>117.76+50.03+71.79+152.14+20.80+40.33+343.93+17.59</f>
        <v/>
      </c>
      <c r="K2" s="1" t="n"/>
      <c r="L2" s="1" t="n"/>
      <c r="M2" s="1" t="n"/>
      <c r="N2" s="3">
        <f>SUM(B2,C2,D2,E2,F2,G2,H2,I2,J2,K2,L2,M2)</f>
        <v/>
      </c>
      <c r="O2" s="1" t="inlineStr">
        <is>
          <t>SUPPLY</t>
        </is>
      </c>
      <c r="P2">
        <f>117.76+50.03+71.79+152.14+20.80+40.33+343.93+17.59</f>
        <v/>
      </c>
    </row>
    <row r="3">
      <c r="A3" s="1" t="inlineStr">
        <is>
          <t>TAREGE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3">
        <f>SUM(B3,C3,D3,E3,F3,G3,H3,I3,J3,K3,L3,M3)</f>
        <v/>
      </c>
      <c r="O3" s="1" t="inlineStr">
        <is>
          <t>GASOLINE</t>
        </is>
      </c>
    </row>
    <row r="4">
      <c r="A4" s="1" t="inlineStr">
        <is>
          <t>CUBE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3">
        <f>SUM(B4,C4,D4,E4,F4,G4,H4,I4,J4,K4,L4,M4)</f>
        <v/>
      </c>
      <c r="O4" s="1" t="inlineStr">
        <is>
          <t>SUPRER</t>
        </is>
      </c>
    </row>
    <row r="5">
      <c r="A5" s="1" t="inlineStr">
        <is>
          <t>AGASD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3">
        <f>SUM(B5,C5,D5,E5,F5,G5,H5,I5,J5,K5,L5,M5)</f>
        <v/>
      </c>
      <c r="O5" s="1" t="inlineStr">
        <is>
          <t>SUPPLY</t>
        </is>
      </c>
    </row>
    <row r="6">
      <c r="A6" s="1" t="inlineStr">
        <is>
          <t>No1 Sushi 88 Corkbbo ACH</t>
        </is>
      </c>
      <c r="B6" s="1" t="n"/>
      <c r="C6" s="1" t="n"/>
      <c r="D6" s="1" t="n"/>
      <c r="E6" s="1" t="n"/>
      <c r="F6" s="3">
        <f>4000</f>
        <v/>
      </c>
      <c r="G6" s="1" t="n"/>
      <c r="H6" s="1" t="n"/>
      <c r="I6" s="1" t="n"/>
      <c r="J6" s="3">
        <f>4000</f>
        <v/>
      </c>
      <c r="K6" s="1" t="n"/>
      <c r="L6" s="1" t="n"/>
      <c r="M6" s="1" t="n"/>
      <c r="N6" s="3">
        <f>SUM(B6,C6,D6,E6,F6,G6,H6,I6,J6,K6,L6,M6)</f>
        <v/>
      </c>
      <c r="O6" s="1" t="inlineStr">
        <is>
          <t>REVIEW</t>
        </is>
      </c>
      <c r="P6" s="6">
        <f>4000</f>
        <v/>
      </c>
    </row>
    <row r="7">
      <c r="A7" s="1" t="inlineStr">
        <is>
          <t>Internet Trf To Client-Added Transfer Account</t>
        </is>
      </c>
      <c r="B7" s="1" t="n"/>
      <c r="C7" s="1" t="n"/>
      <c r="D7" s="1" t="n"/>
      <c r="E7" s="1" t="n"/>
      <c r="F7" s="3">
        <f>385.77+740</f>
        <v/>
      </c>
      <c r="G7" s="1" t="n"/>
      <c r="H7" s="1" t="n"/>
      <c r="I7" s="1" t="n"/>
      <c r="J7" s="3">
        <f>385.77+740</f>
        <v/>
      </c>
      <c r="K7" s="1" t="n"/>
      <c r="L7" s="1" t="n"/>
      <c r="M7" s="1" t="n"/>
      <c r="N7" s="3">
        <f>SUM(B7,C7,D7,E7,F7,G7,H7,I7,J7,K7,L7,M7)</f>
        <v/>
      </c>
      <c r="O7" s="1" t="inlineStr">
        <is>
          <t>REVIEW</t>
        </is>
      </c>
      <c r="P7" s="6">
        <f>385.77+740</f>
        <v/>
      </c>
    </row>
    <row r="8">
      <c r="A8" s="1" t="inlineStr">
        <is>
          <t>Bill Pay:Veolia Water New Y 200045 6Bu1T6Kr</t>
        </is>
      </c>
      <c r="B8" s="1" t="n"/>
      <c r="C8" s="1" t="n"/>
      <c r="D8" s="1" t="n"/>
      <c r="E8" s="1" t="n"/>
      <c r="F8" s="3">
        <f>300</f>
        <v/>
      </c>
      <c r="G8" s="1" t="n"/>
      <c r="H8" s="1" t="n"/>
      <c r="I8" s="1" t="n"/>
      <c r="J8" s="3">
        <f>300</f>
        <v/>
      </c>
      <c r="K8" s="1" t="n"/>
      <c r="L8" s="1" t="n"/>
      <c r="M8" s="1" t="n"/>
      <c r="N8" s="3">
        <f>SUM(B8,C8,D8,E8,F8,G8,H8,I8,J8,K8,L8,M8)</f>
        <v/>
      </c>
      <c r="O8" s="1" t="inlineStr">
        <is>
          <t>REVIEW</t>
        </is>
      </c>
      <c r="P8" s="6">
        <f>300</f>
        <v/>
      </c>
    </row>
    <row r="9">
      <c r="A9" s="1" t="inlineStr">
        <is>
          <t>Bill Pay:Orange &amp; Rockland 136130 6Bq1P6Kr</t>
        </is>
      </c>
      <c r="B9" s="1" t="n"/>
      <c r="C9" s="1" t="n"/>
      <c r="D9" s="1" t="n"/>
      <c r="E9" s="1" t="n"/>
      <c r="F9" s="3">
        <f>350</f>
        <v/>
      </c>
      <c r="G9" s="1" t="n"/>
      <c r="H9" s="1" t="n"/>
      <c r="I9" s="1" t="n"/>
      <c r="J9" s="3">
        <f>350</f>
        <v/>
      </c>
      <c r="K9" s="1" t="n"/>
      <c r="L9" s="1" t="n"/>
      <c r="M9" s="1" t="n"/>
      <c r="N9" s="3">
        <f>SUM(B9,C9,D9,E9,F9,G9,H9,I9,J9,K9,L9,M9)</f>
        <v/>
      </c>
      <c r="O9" s="1" t="inlineStr">
        <is>
          <t>REVIEW</t>
        </is>
      </c>
      <c r="P9" s="6">
        <f>350</f>
        <v/>
      </c>
    </row>
    <row r="10">
      <c r="A10" s="1" t="inlineStr">
        <is>
          <t>Withdrawal Branch 0964 New York</t>
        </is>
      </c>
      <c r="B10" s="1" t="n"/>
      <c r="C10" s="1" t="n"/>
      <c r="D10" s="1" t="n"/>
      <c r="E10" s="1" t="n"/>
      <c r="F10" s="3">
        <f>1000+3200</f>
        <v/>
      </c>
      <c r="G10" s="1" t="n"/>
      <c r="H10" s="1" t="n"/>
      <c r="I10" s="1" t="n"/>
      <c r="J10" s="3">
        <f>1000+3200</f>
        <v/>
      </c>
      <c r="K10" s="1" t="n"/>
      <c r="L10" s="1" t="n"/>
      <c r="M10" s="1" t="n"/>
      <c r="N10" s="3">
        <f>SUM(B10,C10,D10,E10,F10,G10,H10,I10,J10,K10,L10,M10)</f>
        <v/>
      </c>
      <c r="O10" s="1" t="inlineStr">
        <is>
          <t>REVIEW</t>
        </is>
      </c>
      <c r="P10" s="6">
        <f>1000+3200</f>
        <v/>
      </c>
    </row>
    <row r="11">
      <c r="A11" s="1" t="inlineStr">
        <is>
          <t>POS Mac Amazon.Com*Nx6 Seattle WA</t>
        </is>
      </c>
      <c r="B11" s="1" t="n"/>
      <c r="C11" s="1" t="n"/>
      <c r="D11" s="1" t="n"/>
      <c r="E11" s="1" t="n"/>
      <c r="F11" s="3">
        <f>75.4</f>
        <v/>
      </c>
      <c r="G11" s="1" t="n"/>
      <c r="H11" s="1" t="n"/>
      <c r="I11" s="1" t="n"/>
      <c r="J11" s="3">
        <f>75.4</f>
        <v/>
      </c>
      <c r="K11" s="1" t="n"/>
      <c r="L11" s="1" t="n"/>
      <c r="M11" s="1" t="n"/>
      <c r="N11" s="3">
        <f>SUM(B11,C11,D11,E11,F11,G11,H11,I11,J11,K11,L11,M11)</f>
        <v/>
      </c>
      <c r="O11" s="1" t="inlineStr">
        <is>
          <t>REVIEW</t>
        </is>
      </c>
      <c r="P11" s="6">
        <f>75.4</f>
        <v/>
      </c>
    </row>
    <row r="12">
      <c r="A12" s="1" t="inlineStr">
        <is>
          <t>POS Mac Amazon.Com*9O5 Seattle WA</t>
        </is>
      </c>
      <c r="B12" s="1" t="n"/>
      <c r="C12" s="1" t="n"/>
      <c r="D12" s="1" t="n"/>
      <c r="E12" s="1" t="n"/>
      <c r="F12" s="3">
        <f>26.57</f>
        <v/>
      </c>
      <c r="G12" s="1" t="n"/>
      <c r="H12" s="1" t="n"/>
      <c r="I12" s="1" t="n"/>
      <c r="J12" s="3">
        <f>26.57</f>
        <v/>
      </c>
      <c r="K12" s="1" t="n"/>
      <c r="L12" s="1" t="n"/>
      <c r="M12" s="1" t="n"/>
      <c r="N12" s="3">
        <f>SUM(B12,C12,D12,E12,F12,G12,H12,I12,J12,K12,L12,M12)</f>
        <v/>
      </c>
      <c r="O12" s="1" t="inlineStr">
        <is>
          <t>REVIEW</t>
        </is>
      </c>
      <c r="P12" s="6">
        <f>26.57</f>
        <v/>
      </c>
    </row>
    <row r="13">
      <c r="A13" s="1" t="inlineStr">
        <is>
          <t>POS Mac Amazon.Com*Sb8 Seattle WA</t>
        </is>
      </c>
      <c r="B13" s="1" t="n"/>
      <c r="C13" s="1" t="n"/>
      <c r="D13" s="1" t="n"/>
      <c r="E13" s="1" t="n"/>
      <c r="F13" s="3">
        <f>18.75</f>
        <v/>
      </c>
      <c r="G13" s="1" t="n"/>
      <c r="H13" s="1" t="n"/>
      <c r="I13" s="1" t="n"/>
      <c r="J13" s="3">
        <f>18.75</f>
        <v/>
      </c>
      <c r="K13" s="1" t="n"/>
      <c r="L13" s="1" t="n"/>
      <c r="M13" s="1" t="n"/>
      <c r="N13" s="3">
        <f>SUM(B13,C13,D13,E13,F13,G13,H13,I13,J13,K13,L13,M13)</f>
        <v/>
      </c>
      <c r="O13" s="1" t="inlineStr">
        <is>
          <t>REVIEW</t>
        </is>
      </c>
      <c r="P13" s="6">
        <f>18.75</f>
        <v/>
      </c>
    </row>
    <row r="14">
      <c r="A14" s="1" t="inlineStr">
        <is>
          <t>Nys Dtf Pit Tax Paymnt</t>
        </is>
      </c>
      <c r="B14" s="1" t="n"/>
      <c r="C14" s="1" t="n"/>
      <c r="D14" s="1" t="n"/>
      <c r="E14" s="1" t="n"/>
      <c r="F14" s="3">
        <f>200+200</f>
        <v/>
      </c>
      <c r="G14" s="1" t="n"/>
      <c r="H14" s="1" t="n"/>
      <c r="I14" s="1" t="n"/>
      <c r="J14" s="3">
        <f>200+200</f>
        <v/>
      </c>
      <c r="K14" s="1" t="n"/>
      <c r="L14" s="1" t="n"/>
      <c r="M14" s="1" t="n"/>
      <c r="N14" s="3">
        <f>SUM(B14,C14,D14,E14,F14,G14,H14,I14,J14,K14,L14,M14)</f>
        <v/>
      </c>
      <c r="O14" s="1" t="inlineStr">
        <is>
          <t>REVIEW</t>
        </is>
      </c>
      <c r="P14" s="6">
        <f>200+200</f>
        <v/>
      </c>
    </row>
    <row r="15">
      <c r="A15" s="1" t="inlineStr">
        <is>
          <t>Kindercare Portland OR</t>
        </is>
      </c>
      <c r="B15" s="1" t="n"/>
      <c r="C15" s="1" t="n"/>
      <c r="D15" s="1" t="n"/>
      <c r="E15" s="1" t="n"/>
      <c r="F15" s="3">
        <f>490+120</f>
        <v/>
      </c>
      <c r="G15" s="1" t="n"/>
      <c r="H15" s="1" t="n"/>
      <c r="I15" s="1" t="n"/>
      <c r="J15" s="3">
        <f>490+120</f>
        <v/>
      </c>
      <c r="K15" s="1" t="n"/>
      <c r="L15" s="1" t="n"/>
      <c r="M15" s="1" t="n"/>
      <c r="N15" s="3">
        <f>SUM(B15,C15,D15,E15,F15,G15,H15,I15,J15,K15,L15,M15)</f>
        <v/>
      </c>
      <c r="O15" s="1" t="inlineStr">
        <is>
          <t>REVIEW</t>
        </is>
      </c>
      <c r="P15" s="6">
        <f>490+120</f>
        <v/>
      </c>
    </row>
    <row r="16">
      <c r="A16" s="1" t="inlineStr">
        <is>
          <t>Amazon Prime*Zh8618Uz3 Amzn.Com/Bill WA</t>
        </is>
      </c>
      <c r="B16" s="1" t="n"/>
      <c r="C16" s="1" t="n"/>
      <c r="D16" s="1" t="n"/>
      <c r="E16" s="1" t="n"/>
      <c r="F16" s="3">
        <f>16.25</f>
        <v/>
      </c>
      <c r="G16" s="1" t="n"/>
      <c r="H16" s="1" t="n"/>
      <c r="I16" s="1" t="n"/>
      <c r="J16" s="3">
        <f>16.25</f>
        <v/>
      </c>
      <c r="K16" s="1" t="n"/>
      <c r="L16" s="1" t="n"/>
      <c r="M16" s="1" t="n"/>
      <c r="N16" s="3">
        <f>SUM(B16,C16,D16,E16,F16,G16,H16,I16,J16,K16,L16,M16)</f>
        <v/>
      </c>
      <c r="O16" s="1" t="inlineStr">
        <is>
          <t>REVIEW</t>
        </is>
      </c>
      <c r="P16" s="6">
        <f>16.25</f>
        <v/>
      </c>
    </row>
    <row r="17">
      <c r="A17" s="1" t="inlineStr">
        <is>
          <t>Irs Usataxpymt</t>
        </is>
      </c>
      <c r="B17" s="1" t="n"/>
      <c r="C17" s="1" t="n"/>
      <c r="D17" s="1" t="n"/>
      <c r="E17" s="1" t="n"/>
      <c r="F17" s="3">
        <f>800+800</f>
        <v/>
      </c>
      <c r="G17" s="1" t="n"/>
      <c r="H17" s="1" t="n"/>
      <c r="I17" s="1" t="n"/>
      <c r="J17" s="3">
        <f>800+800</f>
        <v/>
      </c>
      <c r="K17" s="1" t="n"/>
      <c r="L17" s="1" t="n"/>
      <c r="M17" s="1" t="n"/>
      <c r="N17" s="3">
        <f>SUM(B17,C17,D17,E17,F17,G17,H17,I17,J17,K17,L17,M17)</f>
        <v/>
      </c>
      <c r="O17" s="1" t="inlineStr">
        <is>
          <t>REVIEW</t>
        </is>
      </c>
      <c r="P17" s="6">
        <f>800+800</f>
        <v/>
      </c>
    </row>
    <row r="18">
      <c r="A18" s="1" t="inlineStr">
        <is>
          <t>Credit One Bank Payment</t>
        </is>
      </c>
      <c r="B18" s="1" t="n"/>
      <c r="C18" s="1" t="n"/>
      <c r="D18" s="1" t="n"/>
      <c r="E18" s="1" t="n"/>
      <c r="F18" s="3">
        <f>817.29</f>
        <v/>
      </c>
      <c r="G18" s="1" t="n"/>
      <c r="H18" s="1" t="n"/>
      <c r="I18" s="1" t="n"/>
      <c r="J18" s="3">
        <f>817.29</f>
        <v/>
      </c>
      <c r="K18" s="1" t="n"/>
      <c r="L18" s="1" t="n"/>
      <c r="M18" s="1" t="n"/>
      <c r="N18" s="3">
        <f>SUM(B18,C18,D18,E18,F18,G18,H18,I18,J18,K18,L18,M18)</f>
        <v/>
      </c>
      <c r="O18" s="1" t="inlineStr">
        <is>
          <t>REVIEW</t>
        </is>
      </c>
      <c r="P18" s="6">
        <f>817.29</f>
        <v/>
      </c>
    </row>
    <row r="19">
      <c r="A19" s="1" t="inlineStr">
        <is>
          <t>Prog Casualty Ins Prem</t>
        </is>
      </c>
      <c r="B19" s="1" t="n"/>
      <c r="C19" s="1" t="n"/>
      <c r="D19" s="1" t="n"/>
      <c r="E19" s="1" t="n"/>
      <c r="F19" s="3">
        <f>930.52</f>
        <v/>
      </c>
      <c r="G19" s="1" t="n"/>
      <c r="H19" s="1" t="n"/>
      <c r="I19" s="1" t="n"/>
      <c r="J19" s="3">
        <f>930.52</f>
        <v/>
      </c>
      <c r="K19" s="1" t="n"/>
      <c r="L19" s="1" t="n"/>
      <c r="M19" s="1" t="n"/>
      <c r="N19" s="3">
        <f>SUM(B19,C19,D19,E19,F19,G19,H19,I19,J19,K19,L19,M19)</f>
        <v/>
      </c>
      <c r="O19" s="1" t="inlineStr">
        <is>
          <t>REVIEW</t>
        </is>
      </c>
      <c r="P19" s="6">
        <f>930.52</f>
        <v/>
      </c>
    </row>
    <row r="20">
      <c r="A20" s="1" t="inlineStr">
        <is>
          <t>Citi Card Onlinepayment</t>
        </is>
      </c>
      <c r="B20" s="1" t="n"/>
      <c r="C20" s="1" t="n"/>
      <c r="D20" s="1" t="n"/>
      <c r="E20" s="1" t="n"/>
      <c r="F20" s="3">
        <f>975</f>
        <v/>
      </c>
      <c r="G20" s="1" t="n"/>
      <c r="H20" s="1" t="n"/>
      <c r="I20" s="1" t="n"/>
      <c r="J20" s="3">
        <f>975</f>
        <v/>
      </c>
      <c r="K20" s="1" t="n"/>
      <c r="L20" s="1" t="n"/>
      <c r="M20" s="1" t="n"/>
      <c r="N20" s="3">
        <f>SUM(B20,C20,D20,E20,F20,G20,H20,I20,J20,K20,L20,M20)</f>
        <v/>
      </c>
      <c r="O20" s="1" t="inlineStr">
        <is>
          <t>REVIEW</t>
        </is>
      </c>
      <c r="P20" s="6">
        <f>975</f>
        <v/>
      </c>
    </row>
    <row r="21">
      <c r="A21" s="1" t="inlineStr">
        <is>
          <t>Total</t>
        </is>
      </c>
      <c r="B21" s="3">
        <f>SUM(B2:B20)</f>
        <v/>
      </c>
      <c r="C21" s="3">
        <f>SUM(C2:C20)</f>
        <v/>
      </c>
      <c r="D21" s="3">
        <f>SUM(D2:D20)</f>
        <v/>
      </c>
      <c r="E21" s="3">
        <f>SUM(E2:E20)</f>
        <v/>
      </c>
      <c r="F21" s="3">
        <f>SUM(F2:F20)</f>
        <v/>
      </c>
      <c r="G21" s="3">
        <f>SUM(G2:G20)</f>
        <v/>
      </c>
      <c r="H21" s="3">
        <f>SUM(H2:H20)</f>
        <v/>
      </c>
      <c r="I21" s="3">
        <f>SUM(I2:I20)</f>
        <v/>
      </c>
      <c r="J21" s="3">
        <f>SUM(J2:J20)</f>
        <v/>
      </c>
      <c r="K21" s="3">
        <f>SUM(K2:K20)</f>
        <v/>
      </c>
      <c r="L21" s="3">
        <f>SUM(L2:L20)</f>
        <v/>
      </c>
      <c r="M21" s="3">
        <f>SUM(M2:M20)</f>
        <v/>
      </c>
      <c r="N21" s="3">
        <f>SUM(B21,C21,D21,E21,F21,G21,H21,I21,J21,K21,L21,M21)</f>
        <v/>
      </c>
      <c r="O21" s="1" t="n"/>
      <c r="P21" s="1">
        <f>SUM(P2:P13)</f>
        <v/>
      </c>
    </row>
    <row r="22"/>
    <row r="23">
      <c r="A23" t="inlineStr">
        <is>
          <t>BEGIN</t>
        </is>
      </c>
    </row>
    <row r="24">
      <c r="A24" t="inlineStr">
        <is>
          <t>ADD</t>
        </is>
      </c>
      <c r="B24">
        <f>B21</f>
        <v/>
      </c>
      <c r="C24">
        <f>C21</f>
        <v/>
      </c>
      <c r="D24">
        <f>D21</f>
        <v/>
      </c>
      <c r="E24">
        <f>E21</f>
        <v/>
      </c>
      <c r="F24">
        <f>F21</f>
        <v/>
      </c>
      <c r="G24">
        <f>G21</f>
        <v/>
      </c>
      <c r="H24">
        <f>H21</f>
        <v/>
      </c>
      <c r="I24">
        <f>I21</f>
        <v/>
      </c>
      <c r="J24">
        <f>J21</f>
        <v/>
      </c>
      <c r="K24">
        <f>K21</f>
        <v/>
      </c>
      <c r="L24">
        <f>L21</f>
        <v/>
      </c>
      <c r="M24">
        <f>M21</f>
        <v/>
      </c>
    </row>
    <row r="25">
      <c r="A25" t="inlineStr">
        <is>
          <t>LESS</t>
        </is>
      </c>
    </row>
    <row r="26">
      <c r="A26" t="inlineStr">
        <is>
          <t>END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2026-08-18T02:54:05Z</dcterms:created>
  <dcterms:modified xsi:type="dcterms:W3CDTF">2026-08-18T18:17:19Z</dcterms:modified>
</cp:coreProperties>
</file>