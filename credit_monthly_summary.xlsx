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1" activeTab="2" autoFilterDateGrouping="1"/>
  </bookViews>
  <sheets>
    <sheet name="Chase #156" sheetId="1" state="visible" r:id="rId1"/>
    <sheet name="Chase detial #1256" sheetId="2" state="visible" r:id="rId2"/>
    <sheet name="Sheet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7" fontId="0" fillId="0" borderId="0" pivotButton="0" quotePrefix="0" xfId="0"/>
    <xf numFmtId="0" fontId="0" fillId="0" borderId="1" pivotButton="0" quotePrefix="0" xfId="0"/>
    <xf numFmtId="17" fontId="0" fillId="0" borderId="1" pivotButton="0" quotePrefix="0" xfId="0"/>
    <xf numFmtId="2" fontId="0" fillId="0" borderId="1" pivotButton="0" quotePrefix="0" xfId="0"/>
    <xf numFmtId="2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J5" sqref="J5"/>
    </sheetView>
  </sheetViews>
  <sheetFormatPr baseColWidth="8" defaultRowHeight="15"/>
  <cols>
    <col width="7.85546875" bestFit="1" customWidth="1" min="1" max="1"/>
    <col width="10" bestFit="1" customWidth="1" min="2" max="2"/>
    <col width="26.5703125" bestFit="1" customWidth="1" min="3" max="3"/>
    <col width="25" bestFit="1" customWidth="1" min="4" max="5"/>
    <col width="12" bestFit="1" customWidth="1" min="6" max="6"/>
    <col width="8.7109375" bestFit="1" customWidth="1" min="7" max="7"/>
    <col width="6.28515625" bestFit="1" customWidth="1" min="8" max="8"/>
    <col width="11" bestFit="1" customWidth="1" min="9" max="9"/>
    <col width="10.42578125" bestFit="1" customWidth="1" min="10" max="10"/>
    <col width="10" bestFit="1" customWidth="1" min="11" max="11"/>
    <col width="7.7109375" bestFit="1" customWidth="1" min="12" max="12"/>
    <col width="9.28515625" bestFit="1" customWidth="1" min="13" max="13"/>
  </cols>
  <sheetData>
    <row r="1">
      <c r="A1" s="8" t="inlineStr">
        <is>
          <t>Chase #8565</t>
        </is>
      </c>
      <c r="B1" s="9" t="n"/>
      <c r="C1" s="9" t="n"/>
      <c r="D1" s="9" t="n"/>
      <c r="E1" s="9" t="n"/>
      <c r="F1" s="9" t="n"/>
      <c r="G1" s="9" t="n"/>
      <c r="H1" s="10" t="n"/>
      <c r="I1" s="10" t="n"/>
      <c r="J1" s="9" t="n"/>
      <c r="K1" s="10" t="n"/>
    </row>
    <row r="2">
      <c r="A2" s="2" t="inlineStr">
        <is>
          <t>Month</t>
        </is>
      </c>
      <c r="B2" s="2" t="inlineStr">
        <is>
          <t>Begin</t>
        </is>
      </c>
      <c r="C2" t="inlineStr">
        <is>
          <t>v No1 Sushi 77 Corkbbo ACH</t>
        </is>
      </c>
      <c r="D2" t="inlineStr">
        <is>
          <t>No1 Sushi 77 Corkbbo ACH</t>
        </is>
      </c>
      <c r="E2" t="inlineStr">
        <is>
          <t>No1 Sushi 88 Corkbbo ACH</t>
        </is>
      </c>
      <c r="F2" s="2" t="inlineStr">
        <is>
          <t>Atm Deposit</t>
        </is>
      </c>
      <c r="G2" s="2" t="inlineStr">
        <is>
          <t xml:space="preserve">Amazon </t>
        </is>
      </c>
      <c r="H2" s="2" t="inlineStr">
        <is>
          <t>Other</t>
        </is>
      </c>
      <c r="I2" s="2" t="inlineStr">
        <is>
          <t>total Credit</t>
        </is>
      </c>
      <c r="J2" s="2" t="inlineStr">
        <is>
          <t>Debit</t>
        </is>
      </c>
      <c r="K2" s="2" t="inlineStr">
        <is>
          <t>Ending</t>
        </is>
      </c>
    </row>
    <row r="3">
      <c r="A3" s="3" t="n">
        <v>45748</v>
      </c>
      <c r="B3" s="4" t="n">
        <v>0</v>
      </c>
      <c r="F3" s="2" t="n"/>
      <c r="G3" s="2" t="n"/>
      <c r="H3" s="2" t="n"/>
      <c r="I3" s="4">
        <f>SUM(C3:H3)</f>
        <v/>
      </c>
      <c r="J3" s="2">
        <f>'Chase detial #1256'!B16</f>
        <v/>
      </c>
      <c r="K3" s="4">
        <f>B3+I3-J3</f>
        <v/>
      </c>
      <c r="L3" t="n">
        <v>413048</v>
      </c>
      <c r="M3" s="5">
        <f>I3-H3</f>
        <v/>
      </c>
    </row>
    <row r="4">
      <c r="A4" s="3" t="n">
        <v>45778</v>
      </c>
      <c r="B4" s="4">
        <f>K3</f>
        <v/>
      </c>
      <c r="F4" s="2" t="n"/>
      <c r="G4" s="2" t="n"/>
      <c r="H4" s="2" t="n"/>
      <c r="I4" s="4">
        <f>SUM(C4:H4)</f>
        <v/>
      </c>
      <c r="J4" s="2">
        <f>'Chase detial #1256'!C16</f>
        <v/>
      </c>
      <c r="K4" s="4">
        <f>B4+I4-J4</f>
        <v/>
      </c>
      <c r="L4" t="n">
        <v>412604</v>
      </c>
      <c r="M4" s="5">
        <f>I4-H4</f>
        <v/>
      </c>
    </row>
    <row r="5">
      <c r="A5" s="3" t="n">
        <v>45809</v>
      </c>
      <c r="B5" s="4">
        <f>K4</f>
        <v/>
      </c>
      <c r="D5" t="n">
        <v>28000</v>
      </c>
      <c r="E5" t="n">
        <v>20000</v>
      </c>
      <c r="F5" s="2" t="n"/>
      <c r="G5" s="2" t="n"/>
      <c r="H5" s="2" t="n"/>
      <c r="I5" s="4">
        <f>SUM(C5:H5)</f>
        <v/>
      </c>
      <c r="J5" s="2">
        <f>'Chase detial #1256'!D16</f>
        <v/>
      </c>
      <c r="K5" s="4">
        <f>B5+I5-J5</f>
        <v/>
      </c>
      <c r="L5" t="n">
        <v>425005</v>
      </c>
      <c r="M5" s="5">
        <f>I5-H5</f>
        <v/>
      </c>
    </row>
    <row r="6">
      <c r="A6" s="3" t="n">
        <v>45839</v>
      </c>
      <c r="B6" s="4">
        <f>K5</f>
        <v/>
      </c>
      <c r="F6" s="2" t="n"/>
      <c r="G6" s="2" t="n"/>
      <c r="H6" s="2" t="n"/>
      <c r="I6" s="4">
        <f>SUM(C6:H6)</f>
        <v/>
      </c>
      <c r="J6" s="2">
        <f>'Chase detial #1256'!E16</f>
        <v/>
      </c>
      <c r="K6" s="4">
        <f>B6+I6-J6</f>
        <v/>
      </c>
      <c r="L6" t="n">
        <v>437378</v>
      </c>
      <c r="M6" s="5">
        <f>I6-H6</f>
        <v/>
      </c>
    </row>
    <row r="7">
      <c r="A7" s="3" t="n">
        <v>45870</v>
      </c>
      <c r="B7" s="4">
        <f>K6</f>
        <v/>
      </c>
      <c r="C7" t="n">
        <v>12000</v>
      </c>
      <c r="D7" t="n">
        <v>16000</v>
      </c>
      <c r="F7" s="2" t="n"/>
      <c r="G7" s="2" t="n"/>
      <c r="H7" s="2" t="n"/>
      <c r="I7" s="4">
        <f>SUM(C7:H7)</f>
        <v/>
      </c>
      <c r="J7" s="2">
        <f>'Chase detial #1256'!F16</f>
        <v/>
      </c>
      <c r="K7" s="4">
        <f>B7+I7-J7</f>
        <v/>
      </c>
      <c r="L7" t="n">
        <v>438873</v>
      </c>
      <c r="M7" s="5">
        <f>I7-H7</f>
        <v/>
      </c>
    </row>
    <row r="8">
      <c r="A8" s="3" t="n">
        <v>45901</v>
      </c>
      <c r="B8" s="4">
        <f>K7</f>
        <v/>
      </c>
      <c r="F8" s="2" t="n"/>
      <c r="G8" s="2" t="n"/>
      <c r="H8" s="2" t="n"/>
      <c r="I8" s="4">
        <f>SUM(C8:H8)</f>
        <v/>
      </c>
      <c r="J8" s="2">
        <f>'Chase detial #1256'!G16</f>
        <v/>
      </c>
      <c r="K8" s="4">
        <f>B8+I8-J8</f>
        <v/>
      </c>
      <c r="L8" t="n">
        <v>438831</v>
      </c>
      <c r="M8" s="5">
        <f>I8-H8</f>
        <v/>
      </c>
    </row>
    <row r="9">
      <c r="A9" s="3" t="n">
        <v>45931</v>
      </c>
      <c r="B9" s="4">
        <f>K8</f>
        <v/>
      </c>
      <c r="F9" s="2" t="n"/>
      <c r="G9" s="2" t="n"/>
      <c r="H9" s="2" t="n"/>
      <c r="I9" s="4">
        <f>SUM(C9:H9)</f>
        <v/>
      </c>
      <c r="J9" s="2">
        <f>'Chase detial #1256'!H16</f>
        <v/>
      </c>
      <c r="K9" s="4">
        <f>B9+I9-J9</f>
        <v/>
      </c>
      <c r="L9" t="n">
        <v>592012</v>
      </c>
      <c r="M9" s="5">
        <f>I9-H9</f>
        <v/>
      </c>
    </row>
    <row r="10">
      <c r="A10" s="3" t="n">
        <v>45962</v>
      </c>
      <c r="B10" s="4">
        <f>K9</f>
        <v/>
      </c>
      <c r="F10" s="2" t="n"/>
      <c r="G10" s="2" t="n"/>
      <c r="H10" s="2" t="n"/>
      <c r="I10" s="4">
        <f>SUM(C10:H10)</f>
        <v/>
      </c>
      <c r="J10" s="2">
        <f>'Chase detial #1256'!I16</f>
        <v/>
      </c>
      <c r="K10" s="4">
        <f>B10+I10-J10</f>
        <v/>
      </c>
      <c r="L10" t="n">
        <v>579559</v>
      </c>
      <c r="M10" s="5">
        <f>I10-H10</f>
        <v/>
      </c>
    </row>
    <row r="11">
      <c r="A11" s="3" t="n">
        <v>45992</v>
      </c>
      <c r="B11" s="4">
        <f>K10</f>
        <v/>
      </c>
      <c r="F11" s="2" t="n"/>
      <c r="G11" s="2" t="n"/>
      <c r="H11" s="2" t="n"/>
      <c r="I11" s="4">
        <f>SUM(C11:H11)</f>
        <v/>
      </c>
      <c r="J11" s="2">
        <f>'Chase detial #1256'!J16</f>
        <v/>
      </c>
      <c r="K11" s="4">
        <f>B11+I11-J11</f>
        <v/>
      </c>
      <c r="L11" t="n">
        <v>703255</v>
      </c>
      <c r="M11" s="5">
        <f>I11-H11</f>
        <v/>
      </c>
    </row>
    <row r="12">
      <c r="A12" s="3" t="n">
        <v>46023</v>
      </c>
      <c r="B12" s="4">
        <f>K11</f>
        <v/>
      </c>
      <c r="F12" s="2" t="n"/>
      <c r="G12" s="2" t="n"/>
      <c r="H12" s="2" t="n"/>
      <c r="I12" s="4">
        <f>SUM(C12:H12)</f>
        <v/>
      </c>
      <c r="J12" s="2">
        <f>'Chase detial #1256'!K16</f>
        <v/>
      </c>
      <c r="K12" s="4">
        <f>B12+I12-J12</f>
        <v/>
      </c>
      <c r="L12" t="n">
        <v>698719</v>
      </c>
      <c r="M12" s="5">
        <f>I12-H12</f>
        <v/>
      </c>
    </row>
    <row r="13">
      <c r="A13" s="3" t="n">
        <v>46054</v>
      </c>
      <c r="B13" s="4">
        <f>K12</f>
        <v/>
      </c>
      <c r="F13" s="2" t="n"/>
      <c r="G13" s="2" t="n"/>
      <c r="H13" s="2" t="n"/>
      <c r="I13" s="4">
        <f>SUM(C13:H13)</f>
        <v/>
      </c>
      <c r="J13" s="2">
        <f>'Chase detial #1256'!L16</f>
        <v/>
      </c>
      <c r="K13" s="4">
        <f>B13+I13-J13</f>
        <v/>
      </c>
      <c r="L13" t="n">
        <v>713229</v>
      </c>
      <c r="M13" s="5">
        <f>I13-H13</f>
        <v/>
      </c>
    </row>
    <row r="14">
      <c r="A14" s="3" t="n">
        <v>46082</v>
      </c>
      <c r="B14" s="4">
        <f>K13</f>
        <v/>
      </c>
      <c r="F14" s="2" t="n"/>
      <c r="G14" s="2" t="n"/>
      <c r="H14" s="2" t="n"/>
      <c r="I14" s="4">
        <f>SUM(C14:H14)</f>
        <v/>
      </c>
      <c r="J14" s="2">
        <f>'Chase detial #1256'!M16</f>
        <v/>
      </c>
      <c r="K14" s="4">
        <f>B14+I14-J14</f>
        <v/>
      </c>
      <c r="L14" t="n">
        <v>716586</v>
      </c>
      <c r="M14" s="5">
        <f>I14-H14</f>
        <v/>
      </c>
    </row>
    <row r="15">
      <c r="A15" s="3" t="inlineStr">
        <is>
          <t>Total</t>
        </is>
      </c>
      <c r="B15" s="3" t="n"/>
      <c r="C15" s="5">
        <f>SUM(C3:C14)</f>
        <v/>
      </c>
      <c r="D15" s="5">
        <f>SUM(D3:D14)</f>
        <v/>
      </c>
      <c r="E15" s="5">
        <f>SUM(E3:E14)</f>
        <v/>
      </c>
      <c r="F15" s="4">
        <f>SUM(F3:F14)</f>
        <v/>
      </c>
      <c r="G15" s="4">
        <f>SUM(G3:G14)</f>
        <v/>
      </c>
      <c r="H15" s="4">
        <f>SUM(H3:H14)</f>
        <v/>
      </c>
      <c r="I15" s="4">
        <f>SUM(I3:I14)</f>
        <v/>
      </c>
      <c r="J15" s="4">
        <f>SUM(J3:J14)</f>
        <v/>
      </c>
      <c r="K15" s="2" t="n"/>
    </row>
    <row r="16">
      <c r="A16" s="1" t="n"/>
      <c r="B16" s="1" t="n"/>
    </row>
    <row r="17">
      <c r="A17" t="inlineStr">
        <is>
          <t>eRIC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5" sqref="A5:A19"/>
    </sheetView>
  </sheetViews>
  <sheetFormatPr baseColWidth="8" defaultRowHeight="15"/>
  <cols>
    <col width="12.28515625" bestFit="1" customWidth="1" min="1" max="1"/>
    <col width="7.140625" bestFit="1" customWidth="1" min="2" max="2"/>
    <col width="7.85546875" bestFit="1" customWidth="1" min="3" max="3"/>
    <col width="6.85546875" bestFit="1" customWidth="1" min="4" max="4"/>
    <col width="6.28515625" bestFit="1" customWidth="1" min="5" max="5"/>
    <col width="7.28515625" bestFit="1" customWidth="1" min="6" max="6"/>
    <col width="7.140625" bestFit="1" customWidth="1" min="7" max="7"/>
    <col width="7" bestFit="1" customWidth="1" min="8" max="8"/>
    <col width="7.42578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5703125" bestFit="1" customWidth="1" min="13" max="13"/>
    <col width="6.85546875" bestFit="1" customWidth="1" min="14" max="14"/>
    <col width="10.5703125" bestFit="1" customWidth="1" min="15" max="15"/>
  </cols>
  <sheetData>
    <row r="1">
      <c r="A1" s="2">
        <f>'Chase #156'!A1</f>
        <v/>
      </c>
      <c r="B1" s="3">
        <f>'Chase #156'!A3</f>
        <v/>
      </c>
      <c r="C1" s="3">
        <f>'Chase #156'!A4</f>
        <v/>
      </c>
      <c r="D1" s="3">
        <f>'Chase #156'!A5</f>
        <v/>
      </c>
      <c r="E1" s="3">
        <f>'Chase #156'!A6</f>
        <v/>
      </c>
      <c r="F1" s="3">
        <f>'Chase #156'!A7</f>
        <v/>
      </c>
      <c r="G1" s="3">
        <f>'Chase #156'!A8</f>
        <v/>
      </c>
      <c r="H1" s="3">
        <f>'Chase #156'!A9</f>
        <v/>
      </c>
      <c r="I1" s="3">
        <f>'Chase #156'!A10</f>
        <v/>
      </c>
      <c r="J1" s="3">
        <f>'Chase #156'!A11</f>
        <v/>
      </c>
      <c r="K1" s="3">
        <f>'Chase #156'!A12</f>
        <v/>
      </c>
      <c r="L1" s="3">
        <f>'Chase #156'!A13</f>
        <v/>
      </c>
      <c r="M1" s="3">
        <f>'Chase #156'!A14</f>
        <v/>
      </c>
      <c r="N1" s="3" t="inlineStr">
        <is>
          <t>TOTAL</t>
        </is>
      </c>
      <c r="O1" s="3" t="inlineStr">
        <is>
          <t>CATEGORY</t>
        </is>
      </c>
    </row>
    <row r="2">
      <c r="A2" s="2" t="inlineStr">
        <is>
          <t>AMAOZN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4">
        <f>SUM(B2,C2,D2,E2,F2,G2,H2,I2,J2,K2,L2,M2)</f>
        <v/>
      </c>
      <c r="O2" s="2" t="inlineStr">
        <is>
          <t>SUPPLY</t>
        </is>
      </c>
    </row>
    <row r="3">
      <c r="A3" s="2" t="inlineStr">
        <is>
          <t>TAREGE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4">
        <f>SUM(B3,C3,D3,E3,F3,G3,H3,I3,J3,K3,L3,M3)</f>
        <v/>
      </c>
      <c r="O3" s="2" t="inlineStr">
        <is>
          <t>GASOLINE</t>
        </is>
      </c>
    </row>
    <row r="4">
      <c r="A4" s="2" t="inlineStr">
        <is>
          <t>CUBE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4">
        <f>SUM(B4,C4,D4,E4,F4,G4,H4,I4,J4,K4,L4,M4)</f>
        <v/>
      </c>
      <c r="O4" s="2" t="inlineStr">
        <is>
          <t>SUPRER</t>
        </is>
      </c>
    </row>
    <row r="5">
      <c r="A5" s="2" t="inlineStr">
        <is>
          <t>AGASD</t>
        </is>
      </c>
      <c r="B5" s="2">
        <f>4000.00+4000.00+385.77+740.00+453.00+385.77+300.00+300.00+350.00+2400.00+1000.00+3200.00+3800.00+75.40+26.57+18.75+117.76+50.03+71.79+152.14+20.80+40.33+343.93+17.59+109.43+13.79+200.00+200.00+490.00+120.00+55.00+16.25+800.00+800.00+817.29+930.52+975.00+364.75+1400.00+578.00</f>
        <v/>
      </c>
      <c r="C5" s="2">
        <f>4000.00+4000.00+385.77+740.00+453.00+385.77+300.00+300.00+350.00+2400.00+1000.00+3200.00+3800.00+75.40+26.57+18.75+117.76+50.03+71.79+152.14+20.80+40.33+343.93+17.59+109.43+13.79+200.00+200.00+490.00+120.00+55.00+16.25+800.00+800.00+817.29+930.52+975.00+364.75+1400.00+578.00</f>
        <v/>
      </c>
      <c r="D5" s="2">
        <f>4000.00+4000.00+385.77+740.00+453.00+385.77+300.00+300.00+350.00+2400.00+1000.00+3200.00+3800.00+75.40+26.57+18.75+117.76+50.03+71.79+152.14+20.80+40.33+343.93+17.59+109.43+13.79+200.00+200.00+490.00+120.00+55.00+16.25+800.00+800.00+817.29+930.52+975.00+364.75+1400.00+578.00</f>
        <v/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4">
        <f>SUM(B5,C5,D5,E5,F5,G5,H5,I5,J5,K5,L5,M5)</f>
        <v/>
      </c>
      <c r="O5" s="2" t="inlineStr">
        <is>
          <t>SUPPLY</t>
        </is>
      </c>
    </row>
    <row r="6">
      <c r="A6" s="2" t="inlineStr">
        <is>
          <t>Arrow Bank Na Web Pmt</t>
        </is>
      </c>
      <c r="B6" s="4">
        <f>703</f>
        <v/>
      </c>
      <c r="C6" s="4">
        <f>703</f>
        <v/>
      </c>
      <c r="D6" s="4">
        <f>703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4">
        <f>SUM(B6,C6,D6,E6,F6,G6,H6,I6,J6,K6,L6,M6)</f>
        <v/>
      </c>
      <c r="O6" s="2" t="inlineStr">
        <is>
          <t>REVIEW</t>
        </is>
      </c>
    </row>
    <row r="7">
      <c r="A7" s="2" t="inlineStr">
        <is>
          <t>Huntington Banksil Payment</t>
        </is>
      </c>
      <c r="B7" s="4">
        <f>900</f>
        <v/>
      </c>
      <c r="C7" s="4">
        <f>900</f>
        <v/>
      </c>
      <c r="D7" s="4">
        <f>900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4">
        <f>SUM(B7,C7,D7,E7,F7,G7,H7,I7,J7,K7,L7,M7)</f>
        <v/>
      </c>
      <c r="O7" s="2" t="inlineStr">
        <is>
          <t>REVIEW</t>
        </is>
      </c>
    </row>
    <row r="8">
      <c r="A8" s="2" t="inlineStr">
        <is>
          <t>Amex Epayment</t>
        </is>
      </c>
      <c r="B8" s="4">
        <f>1000</f>
        <v/>
      </c>
      <c r="C8" s="2">
        <f>1000</f>
        <v/>
      </c>
      <c r="D8" s="2">
        <f>1000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4">
        <f>SUM(B8,C8,D8,E8,F8,G8,H8,I8,J8,K8,L8,M8)</f>
        <v/>
      </c>
      <c r="O8" s="2" t="inlineStr">
        <is>
          <t>REVIEW</t>
        </is>
      </c>
    </row>
    <row r="9">
      <c r="A9" s="2" t="inlineStr">
        <is>
          <t>Associated Mutual</t>
        </is>
      </c>
      <c r="B9" s="4">
        <f>723</f>
        <v/>
      </c>
      <c r="C9" s="2">
        <f>723</f>
        <v/>
      </c>
      <c r="D9" s="2">
        <f>723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4">
        <f>SUM(B9,C9,D9,E9,F9,G9,H9,I9,J9,K9,L9,M9)</f>
        <v/>
      </c>
      <c r="O9" s="2" t="inlineStr">
        <is>
          <t>REVIEW</t>
        </is>
      </c>
    </row>
    <row r="10">
      <c r="A10" s="2" t="inlineStr">
        <is>
          <t>Paypal Inst Xfer</t>
        </is>
      </c>
      <c r="B10" s="4">
        <f>220</f>
        <v/>
      </c>
      <c r="C10" s="4">
        <f>220</f>
        <v/>
      </c>
      <c r="D10" s="4">
        <f>220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4">
        <f>SUM(B10,C10,D10,E10,F10,G10,H10,I10,J10,K10,L10,M10)</f>
        <v/>
      </c>
      <c r="O10" s="2" t="inlineStr">
        <is>
          <t>REVIEW</t>
        </is>
      </c>
    </row>
    <row r="11">
      <c r="A11" s="2" t="inlineStr">
        <is>
          <t>Discover Bank Net/Mobile</t>
        </is>
      </c>
      <c r="B11" s="4">
        <f>833.81</f>
        <v/>
      </c>
      <c r="C11" s="4">
        <f>833.81</f>
        <v/>
      </c>
      <c r="D11" s="4">
        <f>833.81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4">
        <f>SUM(B11,C11,D11,E11,F11,G11,H11,I11,J11,K11,L11,M11)</f>
        <v/>
      </c>
      <c r="O11" s="2" t="inlineStr">
        <is>
          <t>REVIEW</t>
        </is>
      </c>
    </row>
    <row r="12">
      <c r="A12" s="2" t="inlineStr">
        <is>
          <t>Nylevy Nys Commission</t>
        </is>
      </c>
      <c r="B12" s="4">
        <f>4589.17</f>
        <v/>
      </c>
      <c r="C12" s="2">
        <f>4589.17</f>
        <v/>
      </c>
      <c r="D12" s="2">
        <f>4589.17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4">
        <f>SUM(B12,C12,D12,E12,F12,G12,H12,I12,J12,K12,L12,M12)</f>
        <v/>
      </c>
      <c r="O12" s="2" t="inlineStr">
        <is>
          <t>REVIEW</t>
        </is>
      </c>
    </row>
    <row r="13">
      <c r="A13" s="2" t="inlineStr">
        <is>
          <t>haowyuna</t>
        </is>
      </c>
      <c r="B13" s="4" t="n"/>
      <c r="C13" s="2" t="n"/>
      <c r="D13" s="4">
        <f>500+293.52</f>
        <v/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4">
        <f>SUM(B13,C13,D13,E13,F13,G13,H13,I13,J13,K13,L13,M13)</f>
        <v/>
      </c>
      <c r="O13" s="2" t="inlineStr">
        <is>
          <t>REVIEW</t>
        </is>
      </c>
    </row>
    <row r="14">
      <c r="A14" s="2" t="inlineStr">
        <is>
          <t>wyusnfow</t>
        </is>
      </c>
      <c r="B14" s="4" t="n"/>
      <c r="C14" s="2" t="n"/>
      <c r="D14" s="4">
        <f>25982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4">
        <f>SUM(B14,C14,D14,E14,F14,G14,H14,I14,J14,K14,L14,M14)</f>
        <v/>
      </c>
      <c r="O14" s="2" t="inlineStr">
        <is>
          <t>REVIEW</t>
        </is>
      </c>
    </row>
    <row r="15">
      <c r="A15" s="2" t="inlineStr">
        <is>
          <t>wena aohe aofye</t>
        </is>
      </c>
      <c r="B15" s="4" t="n"/>
      <c r="C15" s="2" t="n"/>
      <c r="D15" s="4">
        <f>205.28</f>
        <v/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4">
        <f>SUM(B15,C15,D15,E15,F15,G15,H15,I15,J15,K15,L15,M15)</f>
        <v/>
      </c>
      <c r="O15" s="2" t="inlineStr">
        <is>
          <t>REVIEW</t>
        </is>
      </c>
    </row>
    <row r="16">
      <c r="A16" s="2" t="inlineStr">
        <is>
          <t>Total</t>
        </is>
      </c>
      <c r="B16" s="4">
        <f>SUM(B2:B15)</f>
        <v/>
      </c>
      <c r="C16" s="4">
        <f>SUM(C2:C15)</f>
        <v/>
      </c>
      <c r="D16" s="4">
        <f>SUM(D2:D15)</f>
        <v/>
      </c>
      <c r="E16" s="4">
        <f>SUM(E2:E15)</f>
        <v/>
      </c>
      <c r="F16" s="4">
        <f>SUM(F2:F15)</f>
        <v/>
      </c>
      <c r="G16" s="4">
        <f>SUM(G2:G15)</f>
        <v/>
      </c>
      <c r="H16" s="4">
        <f>SUM(H2:H15)</f>
        <v/>
      </c>
      <c r="I16" s="4">
        <f>SUM(I2:I15)</f>
        <v/>
      </c>
      <c r="J16" s="4">
        <f>SUM(J2:J15)</f>
        <v/>
      </c>
      <c r="K16" s="4">
        <f>SUM(K2:K15)</f>
        <v/>
      </c>
      <c r="L16" s="4">
        <f>SUM(L2:L15)</f>
        <v/>
      </c>
      <c r="M16" s="4">
        <f>SUM(M2:M15)</f>
        <v/>
      </c>
      <c r="N16" s="4">
        <f>SUM(B16,C16,D16,E16,F16,G16,H16,I16,J16,K16,L16,M16)</f>
        <v/>
      </c>
      <c r="O16" s="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tabSelected="1" workbookViewId="0">
      <selection activeCell="A5" sqref="A5:A26"/>
    </sheetView>
  </sheetViews>
  <sheetFormatPr baseColWidth="8" defaultRowHeight="15"/>
  <cols>
    <col width="42" bestFit="1" customWidth="1" min="1" max="1"/>
    <col width="7.140625" bestFit="1" customWidth="1" min="2" max="2"/>
    <col width="7.85546875" bestFit="1" customWidth="1" min="3" max="3"/>
    <col width="6.85546875" bestFit="1" customWidth="1" min="4" max="4"/>
    <col width="6.28515625" bestFit="1" customWidth="1" min="5" max="5"/>
    <col width="9.28515625" bestFit="1" customWidth="1" min="6" max="6"/>
    <col width="7.140625" bestFit="1" customWidth="1" min="7" max="7"/>
    <col width="9.28515625" bestFit="1" customWidth="1" min="8" max="8"/>
    <col width="7.42578125" bestFit="1" customWidth="1" min="9" max="9"/>
    <col width="7.28515625" bestFit="1" customWidth="1" min="10" max="10"/>
    <col width="6.85546875" bestFit="1" customWidth="1" min="11" max="11"/>
    <col width="9.28515625" bestFit="1" customWidth="1" min="12" max="12"/>
    <col width="7.5703125" bestFit="1" customWidth="1" min="13" max="13"/>
    <col width="10.42578125" bestFit="1" customWidth="1" min="14" max="14"/>
    <col width="10.5703125" bestFit="1" customWidth="1" min="15" max="15"/>
    <col width="7.140625" bestFit="1" customWidth="1" min="16" max="16"/>
  </cols>
  <sheetData>
    <row r="1">
      <c r="A1" s="2">
        <f>'Chase #156'!A1</f>
        <v/>
      </c>
      <c r="B1" s="3">
        <f>'Chase #156'!A3</f>
        <v/>
      </c>
      <c r="C1" s="3">
        <f>'Chase #156'!A4</f>
        <v/>
      </c>
      <c r="D1" s="3">
        <f>'Chase #156'!A5</f>
        <v/>
      </c>
      <c r="E1" s="3">
        <f>'Chase #156'!A6</f>
        <v/>
      </c>
      <c r="F1" s="3">
        <f>'Chase #156'!A7</f>
        <v/>
      </c>
      <c r="G1" s="3">
        <f>'Chase #156'!A8</f>
        <v/>
      </c>
      <c r="H1" s="3">
        <f>'Chase #156'!A9</f>
        <v/>
      </c>
      <c r="I1" s="3">
        <f>'Chase #156'!A10</f>
        <v/>
      </c>
      <c r="J1" s="3">
        <f>'Chase #156'!A11</f>
        <v/>
      </c>
      <c r="K1" s="3">
        <f>'Chase #156'!A12</f>
        <v/>
      </c>
      <c r="L1" s="3">
        <f>'Chase #156'!A13</f>
        <v/>
      </c>
      <c r="M1" s="3">
        <f>'Chase #156'!A14</f>
        <v/>
      </c>
      <c r="N1" s="3" t="inlineStr">
        <is>
          <t>TOTAL</t>
        </is>
      </c>
      <c r="O1" s="3" t="inlineStr">
        <is>
          <t>CATEGORY</t>
        </is>
      </c>
      <c r="P1" s="1" t="n">
        <v>46113</v>
      </c>
    </row>
    <row r="2">
      <c r="A2" s="2" t="inlineStr">
        <is>
          <t>AMAOZN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4">
        <f>SUM(B2,C2,D2,E2,F2,G2,H2,I2,J2,K2,L2,M2)</f>
        <v/>
      </c>
      <c r="O2" s="2" t="inlineStr">
        <is>
          <t>SUPPLY</t>
        </is>
      </c>
      <c r="P2">
        <f>42+14+4523</f>
        <v/>
      </c>
    </row>
    <row r="3">
      <c r="A3" s="2" t="inlineStr">
        <is>
          <t>TAREGE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4">
        <f>SUM(B3,C3,D3,E3,F3,G3,H3,I3,J3,K3,L3,M3)</f>
        <v/>
      </c>
      <c r="O3" s="2" t="inlineStr">
        <is>
          <t>GASOLINE</t>
        </is>
      </c>
      <c r="P3">
        <f>4+1+532</f>
        <v/>
      </c>
    </row>
    <row r="4">
      <c r="A4" s="2" t="inlineStr">
        <is>
          <t>CUBE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4">
        <f>SUM(B4,C4,D4,E4,F4,G4,H4,I4,J4,K4,L4,M4)</f>
        <v/>
      </c>
      <c r="O4" s="2" t="inlineStr">
        <is>
          <t>SUPRER</t>
        </is>
      </c>
      <c r="P4">
        <f>234+413+41</f>
        <v/>
      </c>
    </row>
    <row r="5">
      <c r="A5" s="2" t="inlineStr">
        <is>
          <t>AGASD</t>
        </is>
      </c>
      <c r="B5" s="2" t="n"/>
      <c r="C5" s="2" t="n"/>
      <c r="D5" s="2" t="n"/>
      <c r="E5" s="2" t="n"/>
      <c r="F5" s="2">
        <f>4000.00+4000.00+385.77+740.00+453.00+385.77+300.00+300.00+350.00+2400.00+1000.00+3200.00+3800.00+75.40+26.57+18.75+117.76+50.03+71.79+152.14+20.80+40.33+343.93+17.59+109.43+13.79+200.00+200.00+490.00+120.00+55.00+16.25+800.00+800.00+817.29+930.52+975.00+364.75+1400.00+578.00+703.00+900.00+1000.00+723.00+220.00+833.81+4589.17</f>
        <v/>
      </c>
      <c r="G5" s="2" t="n"/>
      <c r="H5" s="2">
        <f>4000.00+4000.00+385.77+740.00+453.00+385.77+300.00+300.00+350.00+2400.00+1000.00+3200.00+3800.00+75.40+26.57+18.75+117.76+50.03+71.79+152.14+20.80+40.33+343.93+17.59+109.43+13.79+200.00+200.00+490.00+120.00+55.00+16.25+800.00+800.00+817.29+930.52+975.00+364.75+1400.00+578.00+703.00+900.00+1000.00+723.00+220.00+833.81+4589.17</f>
        <v/>
      </c>
      <c r="I5" s="2" t="n"/>
      <c r="J5" s="2" t="n"/>
      <c r="K5" s="2" t="n"/>
      <c r="L5" s="2">
        <f>4000.00+4000.00+385.77+740.00+453.00+385.77+300.00+300.00+350.00+2400.00+1000.00+3200.00+3800.00+75.40+26.57+18.75+117.76+50.03+71.79+152.14+20.80+40.33+343.93+17.59+109.43+13.79+200.00+200.00+490.00+120.00+55.00+16.25+800.00+800.00+817.29+930.52+975.00+364.75+1400.00+578.00+703.00+900.00+1000.00+723.00+220.00+833.81+4589.17</f>
        <v/>
      </c>
      <c r="M5" s="2" t="n"/>
      <c r="N5" s="4">
        <f>SUM(B5,C5,D5,E5,F5,G5,H5,I5,J5,K5,L5,M5)</f>
        <v/>
      </c>
      <c r="O5" s="2" t="inlineStr">
        <is>
          <t>SUPPLY</t>
        </is>
      </c>
      <c r="P5">
        <f>234.00+4213.00+4214.00</f>
        <v/>
      </c>
    </row>
    <row r="6">
      <c r="A6" s="2" t="inlineStr">
        <is>
          <t>Total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  <c r="J6" s="4">
        <f>SUM(J2:J5)</f>
        <v/>
      </c>
      <c r="K6" s="4">
        <f>SUM(K2:K5)</f>
        <v/>
      </c>
      <c r="L6" s="4">
        <f>SUM(L2:L5)</f>
        <v/>
      </c>
      <c r="M6" s="4">
        <f>SUM(M2:M5)</f>
        <v/>
      </c>
      <c r="N6" s="4">
        <f>SUM(B6,C6,D6,E6,F6,G6,H6,I6,J6,K6,L6,M6)</f>
        <v/>
      </c>
      <c r="O6" s="2" t="n"/>
      <c r="P6" s="2">
        <f>SUM(P2:P13)</f>
        <v/>
      </c>
    </row>
    <row r="7"/>
    <row r="8">
      <c r="A8" t="inlineStr">
        <is>
          <t>BEGIN</t>
        </is>
      </c>
    </row>
    <row r="9">
      <c r="A9" t="inlineStr">
        <is>
          <t>ADD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</row>
    <row r="10">
      <c r="A10" t="inlineStr">
        <is>
          <t>LESS</t>
        </is>
      </c>
    </row>
    <row r="11">
      <c r="A11" t="inlineStr">
        <is>
          <t>END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2026-08-18T02:54:05Z</dcterms:created>
  <dcterms:modified xsi:type="dcterms:W3CDTF">2026-09-03T02:07:07Z</dcterms:modified>
</cp:coreProperties>
</file>