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name="Chase #156" sheetId="1" state="visible" r:id="rId1"/>
    <sheet name="Chase detial #1256" sheetId="2" state="visible" r:id="rId2"/>
    <sheet name="Sheet1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1" pivotButton="0" quotePrefix="0" xfId="0"/>
    <xf numFmtId="17" fontId="0" fillId="0" borderId="1" pivotButton="0" quotePrefix="0" xfId="0"/>
    <xf numFmtId="2" fontId="0" fillId="0" borderId="1" pivotButton="0" quotePrefix="0" xfId="0"/>
    <xf numFmtId="17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7"/>
  <sheetViews>
    <sheetView workbookViewId="0">
      <selection activeCell="I3" sqref="I3"/>
    </sheetView>
  </sheetViews>
  <sheetFormatPr baseColWidth="8" defaultRowHeight="15"/>
  <cols>
    <col width="7.85546875" bestFit="1" customWidth="1" style="5" min="1" max="1"/>
    <col width="10.42578125" bestFit="1" customWidth="1" style="5" min="2" max="2"/>
    <col width="12" bestFit="1" customWidth="1" style="5" min="3" max="3"/>
    <col width="8.7109375" bestFit="1" customWidth="1" style="5" min="4" max="4"/>
    <col width="7.7109375" bestFit="1" customWidth="1" style="5" min="5" max="5"/>
    <col width="11" bestFit="1" customWidth="1" style="5" min="6" max="6"/>
    <col width="6.5703125" bestFit="1" customWidth="1" style="5" min="7" max="7"/>
    <col width="10.42578125" bestFit="1" customWidth="1" style="5" min="8" max="8"/>
  </cols>
  <sheetData>
    <row r="1">
      <c r="A1" s="9" t="inlineStr">
        <is>
          <t>Chase #8565</t>
        </is>
      </c>
      <c r="B1" s="10" t="n"/>
      <c r="C1" s="10" t="n"/>
      <c r="D1" s="10" t="n"/>
      <c r="E1" s="10" t="n"/>
      <c r="F1" s="10" t="n"/>
      <c r="G1" s="10" t="n"/>
      <c r="H1" s="11" t="n"/>
      <c r="AL1" s="10" t="n"/>
      <c r="AM1" s="10" t="n"/>
      <c r="AN1" s="10" t="n"/>
      <c r="AO1" s="10" t="n"/>
      <c r="AP1" s="10" t="n"/>
      <c r="AQ1" s="11" t="n"/>
    </row>
    <row r="2">
      <c r="A2" s="1" t="inlineStr">
        <is>
          <t>Month</t>
        </is>
      </c>
      <c r="B2" s="1" t="inlineStr">
        <is>
          <t>Begin</t>
        </is>
      </c>
      <c r="C2" t="inlineStr">
        <is>
          <t>87541423 Nylevy / 1-518-457-5434 / Nys Commission</t>
        </is>
      </c>
      <c r="D2" t="inlineStr">
        <is>
          <t>Discover Bank Net/Mobile</t>
        </is>
      </c>
      <c r="E2" t="inlineStr">
        <is>
          <t>Paypal Inst Xfer</t>
        </is>
      </c>
      <c r="F2" t="inlineStr">
        <is>
          <t>Bill Pay:Orange &amp; Rockland 879293 5Bq1P6Kr</t>
        </is>
      </c>
      <c r="G2" t="inlineStr">
        <is>
          <t>Bill Pay:Associated Mutual 210061 Ubq1P6Kr</t>
        </is>
      </c>
      <c r="H2" t="inlineStr">
        <is>
          <t>Bill Pay:Veolia Water New Y 200054 Hbu1T6Kr</t>
        </is>
      </c>
      <c r="I2" t="inlineStr">
        <is>
          <t>Amex Epayment ACH Pmt</t>
        </is>
      </c>
      <c r="J2" t="inlineStr">
        <is>
          <t>Huntington Banksil Payment</t>
        </is>
      </c>
      <c r="K2" t="inlineStr">
        <is>
          <t>Arrow Bank Na Web Pmt</t>
        </is>
      </c>
      <c r="L2" t="inlineStr">
        <is>
          <t>POS Mac Amazon.Com*Yr6 Seattle WA</t>
        </is>
      </c>
      <c r="M2" t="inlineStr">
        <is>
          <t>Amazon.Com*N22Fjseattlewa US</t>
        </is>
      </c>
      <c r="N2" t="inlineStr">
        <is>
          <t>Bill Pay:New York State Ins 237224 4Bq1P6Kr</t>
        </is>
      </c>
      <c r="O2" t="inlineStr">
        <is>
          <t>POS Mac Amazon.Com*Bq9 Seattle WA</t>
        </is>
      </c>
      <c r="P2" t="inlineStr">
        <is>
          <t>POS Mac Amazon.Com*Au5 Seattle WA</t>
        </is>
      </c>
      <c r="Q2" t="inlineStr">
        <is>
          <t>POS Mac Amazon.Com*Za2 Seattle WA</t>
        </is>
      </c>
      <c r="R2" t="inlineStr">
        <is>
          <t>POS Mac Amazon.Com*V25 Seattle WA</t>
        </is>
      </c>
      <c r="S2" t="inlineStr">
        <is>
          <t>POS Mac Amazon.Com*Ge2 Seattle WA</t>
        </is>
      </c>
      <c r="T2" t="inlineStr">
        <is>
          <t>POS Mac Amazon.Com*Mz5 Seattle WA</t>
        </is>
      </c>
      <c r="U2" t="inlineStr">
        <is>
          <t>POS Mac Amazon.Com*TN0 Seattle WA</t>
        </is>
      </c>
      <c r="V2" t="inlineStr">
        <is>
          <t>Amazon.Comseattlewa US</t>
        </is>
      </c>
      <c r="W2" t="inlineStr">
        <is>
          <t>Citi Card Onlinepayment</t>
        </is>
      </c>
      <c r="X2" t="inlineStr">
        <is>
          <t>Prog Casualty Ins Prem</t>
        </is>
      </c>
      <c r="Y2" t="inlineStr">
        <is>
          <t>Credit One Bank Payment</t>
        </is>
      </c>
      <c r="Z2" t="inlineStr">
        <is>
          <t>Irs Usataxpymt</t>
        </is>
      </c>
      <c r="AA2" t="inlineStr">
        <is>
          <t>Amazon Prime*Zh8618Uz3 Amzn.Com/Bill WA</t>
        </is>
      </c>
      <c r="AB2" t="inlineStr">
        <is>
          <t>Kindercare Portland OR</t>
        </is>
      </c>
      <c r="AC2" t="inlineStr">
        <is>
          <t>Nys Dtf Pit Tax Paymnt</t>
        </is>
      </c>
      <c r="AD2" t="inlineStr">
        <is>
          <t>POS Mac Amazon.Com*Sb8 Seattle WA</t>
        </is>
      </c>
      <c r="AE2" t="inlineStr">
        <is>
          <t>POS Mac Amazon.Com*9O5 Seattle WA</t>
        </is>
      </c>
      <c r="AF2" t="inlineStr">
        <is>
          <t>POS Mac Amazon.Com*Nx6 Seattle WA</t>
        </is>
      </c>
      <c r="AG2" t="inlineStr">
        <is>
          <t>Withdrawal Branch 0964 New York</t>
        </is>
      </c>
      <c r="AH2" t="inlineStr">
        <is>
          <t>Bill Pay:Orange &amp; Rockland 136130 6Bq1P6Kr</t>
        </is>
      </c>
      <c r="AI2" t="inlineStr">
        <is>
          <t>Bill Pay:Veolia Water New Y 200045 6Bu1T6Kr</t>
        </is>
      </c>
      <c r="AJ2" t="inlineStr">
        <is>
          <t>Internet Trf To Client-Added Transfer Account</t>
        </is>
      </c>
      <c r="AK2" t="inlineStr">
        <is>
          <t>No1 Sushi 88 Corkbbo ACH</t>
        </is>
      </c>
      <c r="AL2" s="1" t="inlineStr">
        <is>
          <t>Atm Deposit</t>
        </is>
      </c>
      <c r="AM2" s="1" t="inlineStr">
        <is>
          <t xml:space="preserve">Amazon </t>
        </is>
      </c>
      <c r="AN2" s="1" t="inlineStr">
        <is>
          <t>Other</t>
        </is>
      </c>
      <c r="AO2" s="1" t="inlineStr">
        <is>
          <t>total Credit</t>
        </is>
      </c>
      <c r="AP2" s="1" t="inlineStr">
        <is>
          <t>Debit</t>
        </is>
      </c>
      <c r="AQ2" s="1" t="inlineStr">
        <is>
          <t>Ending</t>
        </is>
      </c>
    </row>
    <row r="3">
      <c r="A3" s="2" t="n">
        <v>45748</v>
      </c>
      <c r="B3" s="3" t="n">
        <v>0</v>
      </c>
      <c r="AL3" s="1" t="n"/>
      <c r="AM3" s="1" t="n"/>
      <c r="AN3" s="1" t="n"/>
      <c r="AO3" s="3">
        <f>SUM(C3:AN3)</f>
        <v/>
      </c>
      <c r="AP3" s="1">
        <f>'Chase detial #1256'!B27</f>
        <v/>
      </c>
      <c r="AQ3" s="3">
        <f>B3+F3-G3</f>
        <v/>
      </c>
      <c r="AR3" t="n">
        <v>413048</v>
      </c>
      <c r="AS3" s="6">
        <f>I3-H3</f>
        <v/>
      </c>
    </row>
    <row r="4">
      <c r="A4" s="2" t="n">
        <v>45778</v>
      </c>
      <c r="B4" s="3">
        <f>H3</f>
        <v/>
      </c>
      <c r="AL4" s="1" t="n"/>
      <c r="AM4" s="1" t="n"/>
      <c r="AN4" s="1" t="n"/>
      <c r="AO4" s="3">
        <f>SUM(C4:AN4)</f>
        <v/>
      </c>
      <c r="AP4" s="1">
        <f>'Chase detial #1256'!C27</f>
        <v/>
      </c>
      <c r="AQ4" s="3">
        <f>B4+F4-G4</f>
        <v/>
      </c>
      <c r="AR4" t="n">
        <v>412604</v>
      </c>
      <c r="AS4" s="6">
        <f>I4-H4</f>
        <v/>
      </c>
    </row>
    <row r="5">
      <c r="A5" s="2" t="n">
        <v>45809</v>
      </c>
      <c r="B5" s="3">
        <f>H4</f>
        <v/>
      </c>
      <c r="AL5" s="1" t="n"/>
      <c r="AM5" s="1" t="n"/>
      <c r="AN5" s="1" t="n"/>
      <c r="AO5" s="3">
        <f>SUM(C5:AN5)</f>
        <v/>
      </c>
      <c r="AP5" s="1">
        <f>'Chase detial #1256'!D27</f>
        <v/>
      </c>
      <c r="AQ5" s="3">
        <f>B5+F5-G5</f>
        <v/>
      </c>
      <c r="AR5" t="n">
        <v>425005</v>
      </c>
      <c r="AS5" s="6">
        <f>I5-H5</f>
        <v/>
      </c>
    </row>
    <row r="6">
      <c r="A6" s="2" t="n">
        <v>45839</v>
      </c>
      <c r="B6" s="3">
        <f>H5</f>
        <v/>
      </c>
      <c r="AL6" s="1" t="n"/>
      <c r="AM6" s="1" t="n"/>
      <c r="AN6" s="1" t="n"/>
      <c r="AO6" s="3">
        <f>SUM(C6:AN6)</f>
        <v/>
      </c>
      <c r="AP6" s="1">
        <f>'Chase detial #1256'!E27</f>
        <v/>
      </c>
      <c r="AQ6" s="3">
        <f>B6+F6-G6</f>
        <v/>
      </c>
      <c r="AR6" t="n">
        <v>437378</v>
      </c>
      <c r="AS6" s="6">
        <f>I6-H6</f>
        <v/>
      </c>
    </row>
    <row r="7">
      <c r="A7" s="2" t="n">
        <v>45870</v>
      </c>
      <c r="B7" s="3">
        <f>H6</f>
        <v/>
      </c>
      <c r="C7" t="n">
        <v>4589.17</v>
      </c>
      <c r="D7" t="n">
        <v>833.8099999999999</v>
      </c>
      <c r="E7" t="n">
        <v>220</v>
      </c>
      <c r="F7" t="n">
        <v>2400</v>
      </c>
      <c r="G7" t="n">
        <v>723</v>
      </c>
      <c r="H7" t="n">
        <v>300</v>
      </c>
      <c r="I7" t="n">
        <v>1000</v>
      </c>
      <c r="J7" t="n">
        <v>900</v>
      </c>
      <c r="K7" t="n">
        <v>703</v>
      </c>
      <c r="L7" t="n">
        <v>13.79</v>
      </c>
      <c r="M7" t="n">
        <v>109.43</v>
      </c>
      <c r="N7" t="n">
        <v>578</v>
      </c>
      <c r="O7" t="n">
        <v>17.59</v>
      </c>
      <c r="P7" t="n">
        <v>343.93</v>
      </c>
      <c r="Q7" t="n">
        <v>40.33</v>
      </c>
      <c r="R7" t="n">
        <v>20.8</v>
      </c>
      <c r="S7" t="n">
        <v>152.14</v>
      </c>
      <c r="T7" t="n">
        <v>71.79000000000001</v>
      </c>
      <c r="U7" t="n">
        <v>50.03</v>
      </c>
      <c r="V7" t="n">
        <v>117.76</v>
      </c>
      <c r="W7" t="n">
        <v>2739.75</v>
      </c>
      <c r="X7" t="n">
        <v>930.52</v>
      </c>
      <c r="Y7" t="n">
        <v>817.29</v>
      </c>
      <c r="Z7" t="n">
        <v>1600</v>
      </c>
      <c r="AA7" t="n">
        <v>16.25</v>
      </c>
      <c r="AB7" t="n">
        <v>665</v>
      </c>
      <c r="AC7" t="n">
        <v>400</v>
      </c>
      <c r="AD7" t="n">
        <v>18.75</v>
      </c>
      <c r="AE7" t="n">
        <v>26.57</v>
      </c>
      <c r="AF7" t="n">
        <v>75.40000000000001</v>
      </c>
      <c r="AG7" t="n">
        <v>8000</v>
      </c>
      <c r="AH7" t="n">
        <v>350</v>
      </c>
      <c r="AI7" t="n">
        <v>300</v>
      </c>
      <c r="AJ7" t="n">
        <v>1964.54</v>
      </c>
      <c r="AK7" t="n">
        <v>8000</v>
      </c>
      <c r="AL7" s="1" t="n"/>
      <c r="AM7" s="1" t="n"/>
      <c r="AN7" s="1" t="n"/>
      <c r="AO7" s="3">
        <f>SUM(C7:AN7)</f>
        <v/>
      </c>
      <c r="AP7" s="1">
        <f>'Chase detial #1256'!F27</f>
        <v/>
      </c>
      <c r="AQ7" s="3">
        <f>B7+F7-G7</f>
        <v/>
      </c>
      <c r="AR7" t="n">
        <v>438873</v>
      </c>
      <c r="AS7" s="6">
        <f>I7-H7</f>
        <v/>
      </c>
    </row>
    <row r="8">
      <c r="A8" s="2" t="n">
        <v>45901</v>
      </c>
      <c r="B8" s="3">
        <f>H7</f>
        <v/>
      </c>
      <c r="AL8" s="1" t="n"/>
      <c r="AM8" s="1" t="n"/>
      <c r="AN8" s="1" t="n"/>
      <c r="AO8" s="3">
        <f>SUM(C8:AN8)</f>
        <v/>
      </c>
      <c r="AP8" s="1">
        <f>'Chase detial #1256'!G27</f>
        <v/>
      </c>
      <c r="AQ8" s="3">
        <f>B8+F8-G8</f>
        <v/>
      </c>
      <c r="AR8" t="n">
        <v>438831</v>
      </c>
      <c r="AS8" s="6">
        <f>I8-H8</f>
        <v/>
      </c>
    </row>
    <row r="9">
      <c r="A9" s="2" t="n">
        <v>45931</v>
      </c>
      <c r="B9" s="3">
        <f>H8</f>
        <v/>
      </c>
      <c r="AL9" s="1" t="n"/>
      <c r="AM9" s="1" t="n"/>
      <c r="AN9" s="1" t="n"/>
      <c r="AO9" s="3">
        <f>SUM(C9:AN9)</f>
        <v/>
      </c>
      <c r="AP9" s="1">
        <f>'Chase detial #1256'!H27</f>
        <v/>
      </c>
      <c r="AQ9" s="3">
        <f>B9+F9-G9</f>
        <v/>
      </c>
      <c r="AR9" t="n">
        <v>592012</v>
      </c>
      <c r="AS9" s="6">
        <f>I9-H9</f>
        <v/>
      </c>
    </row>
    <row r="10">
      <c r="A10" s="2" t="n">
        <v>45962</v>
      </c>
      <c r="B10" s="3">
        <f>H9</f>
        <v/>
      </c>
      <c r="AL10" s="1" t="n"/>
      <c r="AM10" s="1" t="n"/>
      <c r="AN10" s="1" t="n"/>
      <c r="AO10" s="3">
        <f>SUM(C10:AN10)</f>
        <v/>
      </c>
      <c r="AP10" s="1">
        <f>'Chase detial #1256'!I27</f>
        <v/>
      </c>
      <c r="AQ10" s="3">
        <f>B10+F10-G10</f>
        <v/>
      </c>
      <c r="AR10" t="n">
        <v>579559</v>
      </c>
      <c r="AS10" s="6">
        <f>I10-H10</f>
        <v/>
      </c>
    </row>
    <row r="11">
      <c r="A11" s="2" t="n">
        <v>45992</v>
      </c>
      <c r="B11" s="3">
        <f>H10</f>
        <v/>
      </c>
      <c r="AL11" s="1" t="n"/>
      <c r="AM11" s="1" t="n"/>
      <c r="AN11" s="1" t="n"/>
      <c r="AO11" s="3">
        <f>SUM(C11:AN11)</f>
        <v/>
      </c>
      <c r="AP11" s="1">
        <f>'Chase detial #1256'!J27</f>
        <v/>
      </c>
      <c r="AQ11" s="3">
        <f>B11+F11-G11</f>
        <v/>
      </c>
      <c r="AR11" t="n">
        <v>703255</v>
      </c>
      <c r="AS11" s="6">
        <f>I11-H11</f>
        <v/>
      </c>
    </row>
    <row r="12">
      <c r="A12" s="2" t="n">
        <v>46023</v>
      </c>
      <c r="B12" s="3">
        <f>H11</f>
        <v/>
      </c>
      <c r="AL12" s="1" t="n"/>
      <c r="AM12" s="1" t="n"/>
      <c r="AN12" s="1" t="n"/>
      <c r="AO12" s="3">
        <f>SUM(C12:AN12)</f>
        <v/>
      </c>
      <c r="AP12" s="1">
        <f>'Chase detial #1256'!K27</f>
        <v/>
      </c>
      <c r="AQ12" s="3">
        <f>B12+F12-G12</f>
        <v/>
      </c>
      <c r="AR12" t="n">
        <v>698719</v>
      </c>
      <c r="AS12" s="6">
        <f>I12-H12</f>
        <v/>
      </c>
    </row>
    <row r="13">
      <c r="A13" s="2" t="n">
        <v>46054</v>
      </c>
      <c r="B13" s="3">
        <f>H12</f>
        <v/>
      </c>
      <c r="AL13" s="1" t="n"/>
      <c r="AM13" s="1" t="n"/>
      <c r="AN13" s="1" t="n"/>
      <c r="AO13" s="3">
        <f>SUM(C13:AN13)</f>
        <v/>
      </c>
      <c r="AP13" s="1">
        <f>'Chase detial #1256'!L27</f>
        <v/>
      </c>
      <c r="AQ13" s="3">
        <f>B13+F13-G13</f>
        <v/>
      </c>
      <c r="AR13" t="n">
        <v>713229</v>
      </c>
      <c r="AS13" s="6">
        <f>I13-H13</f>
        <v/>
      </c>
    </row>
    <row r="14">
      <c r="A14" s="2" t="n">
        <v>46082</v>
      </c>
      <c r="B14" s="3">
        <f>H13</f>
        <v/>
      </c>
      <c r="AL14" s="1" t="n"/>
      <c r="AM14" s="1" t="n"/>
      <c r="AN14" s="1" t="n"/>
      <c r="AO14" s="3">
        <f>SUM(C14:AN14)</f>
        <v/>
      </c>
      <c r="AP14" s="1">
        <f>'Chase detial #1256'!M27</f>
        <v/>
      </c>
      <c r="AQ14" s="3">
        <f>B14+F14-G14</f>
        <v/>
      </c>
      <c r="AR14" t="n">
        <v>716586</v>
      </c>
      <c r="AS14" s="6">
        <f>I14-H14</f>
        <v/>
      </c>
    </row>
    <row r="15">
      <c r="A15" s="2" t="inlineStr">
        <is>
          <t>Total</t>
        </is>
      </c>
      <c r="B15" s="2" t="n"/>
      <c r="C15" s="6">
        <f>SUM(C3:C14)</f>
        <v/>
      </c>
      <c r="D15" s="6">
        <f>SUM(D3:D14)</f>
        <v/>
      </c>
      <c r="E15" s="6">
        <f>SUM(E3:E14)</f>
        <v/>
      </c>
      <c r="F15" s="6">
        <f>SUM(F3:F14)</f>
        <v/>
      </c>
      <c r="G15" s="6">
        <f>SUM(G3:G14)</f>
        <v/>
      </c>
      <c r="H15" s="6">
        <f>SUM(H3:H14)</f>
        <v/>
      </c>
      <c r="I15" s="6">
        <f>SUM(I3:I14)</f>
        <v/>
      </c>
      <c r="J15" s="6">
        <f>SUM(J3:J14)</f>
        <v/>
      </c>
      <c r="K15" s="6">
        <f>SUM(K3:K14)</f>
        <v/>
      </c>
      <c r="L15" s="6">
        <f>SUM(L3:L14)</f>
        <v/>
      </c>
      <c r="M15" s="6">
        <f>SUM(M3:M14)</f>
        <v/>
      </c>
      <c r="N15" s="6">
        <f>SUM(N3:N14)</f>
        <v/>
      </c>
      <c r="O15" s="6">
        <f>SUM(O3:O14)</f>
        <v/>
      </c>
      <c r="P15" s="6">
        <f>SUM(P3:P14)</f>
        <v/>
      </c>
      <c r="Q15" s="6">
        <f>SUM(Q3:Q14)</f>
        <v/>
      </c>
      <c r="R15" s="6">
        <f>SUM(R3:R14)</f>
        <v/>
      </c>
      <c r="S15" s="6">
        <f>SUM(S3:S14)</f>
        <v/>
      </c>
      <c r="T15" s="6">
        <f>SUM(T3:T14)</f>
        <v/>
      </c>
      <c r="U15" s="6">
        <f>SUM(U3:U14)</f>
        <v/>
      </c>
      <c r="V15" s="6">
        <f>SUM(V3:V14)</f>
        <v/>
      </c>
      <c r="W15" s="6">
        <f>SUM(W3:W14)</f>
        <v/>
      </c>
      <c r="X15" s="6">
        <f>SUM(X3:X14)</f>
        <v/>
      </c>
      <c r="Y15" s="6">
        <f>SUM(Y3:Y14)</f>
        <v/>
      </c>
      <c r="Z15" s="6">
        <f>SUM(Z3:Z14)</f>
        <v/>
      </c>
      <c r="AA15" s="6">
        <f>SUM(AA3:AA14)</f>
        <v/>
      </c>
      <c r="AB15" s="6">
        <f>SUM(AB3:AB14)</f>
        <v/>
      </c>
      <c r="AC15" s="6">
        <f>SUM(AC3:AC14)</f>
        <v/>
      </c>
      <c r="AD15" s="6">
        <f>SUM(AD3:AD14)</f>
        <v/>
      </c>
      <c r="AE15" s="6">
        <f>SUM(AE3:AE14)</f>
        <v/>
      </c>
      <c r="AF15" s="6">
        <f>SUM(AF3:AF14)</f>
        <v/>
      </c>
      <c r="AG15" s="6">
        <f>SUM(AG3:AG14)</f>
        <v/>
      </c>
      <c r="AH15" s="6">
        <f>SUM(AH3:AH14)</f>
        <v/>
      </c>
      <c r="AI15" s="6">
        <f>SUM(AI3:AI14)</f>
        <v/>
      </c>
      <c r="AJ15" s="6">
        <f>SUM(AJ3:AJ14)</f>
        <v/>
      </c>
      <c r="AK15" s="6">
        <f>SUM(AK3:AK14)</f>
        <v/>
      </c>
      <c r="AL15" s="3">
        <f>SUM(AL3:AL14)</f>
        <v/>
      </c>
      <c r="AM15" s="3">
        <f>SUM(AM3:AM14)</f>
        <v/>
      </c>
      <c r="AN15" s="3">
        <f>SUM(AN3:AN14)</f>
        <v/>
      </c>
      <c r="AO15" s="3">
        <f>SUM(AO3:AO14)</f>
        <v/>
      </c>
      <c r="AP15" s="3">
        <f>SUM(AP3:AP14)</f>
        <v/>
      </c>
      <c r="AQ15" s="1" t="n"/>
    </row>
    <row r="16">
      <c r="A16" s="4" t="n"/>
      <c r="B16" s="4" t="n"/>
    </row>
    <row r="17">
      <c r="A17" t="inlineStr">
        <is>
          <t>eRIC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tabSelected="1" workbookViewId="0">
      <selection activeCell="I11" sqref="I11:I17"/>
    </sheetView>
  </sheetViews>
  <sheetFormatPr baseColWidth="8" defaultRowHeight="15"/>
  <cols>
    <col width="42" bestFit="1" customWidth="1" style="5" min="1" max="1"/>
    <col width="9.28515625" bestFit="1" customWidth="1" style="5" min="2" max="6"/>
    <col width="7.140625" bestFit="1" customWidth="1" style="5" min="7" max="7"/>
    <col width="7" bestFit="1" customWidth="1" style="5" min="8" max="8"/>
    <col width="7.42578125" bestFit="1" customWidth="1" style="5" min="9" max="9"/>
    <col width="7.28515625" bestFit="1" customWidth="1" style="5" min="10" max="10"/>
    <col width="6.85546875" bestFit="1" customWidth="1" style="5" min="11" max="11"/>
    <col width="7.140625" bestFit="1" customWidth="1" style="5" min="12" max="12"/>
    <col width="7.5703125" bestFit="1" customWidth="1" style="5" min="13" max="13"/>
    <col width="10.42578125" bestFit="1" customWidth="1" style="5" min="14" max="14"/>
    <col width="10.5703125" bestFit="1" customWidth="1" style="5" min="15" max="15"/>
  </cols>
  <sheetData>
    <row r="1">
      <c r="A1" s="1">
        <f>'Chase #156'!A1</f>
        <v/>
      </c>
      <c r="B1" s="2">
        <f>'Chase #156'!A3</f>
        <v/>
      </c>
      <c r="C1" s="2">
        <f>'Chase #156'!A4</f>
        <v/>
      </c>
      <c r="D1" s="2">
        <f>'Chase #156'!A5</f>
        <v/>
      </c>
      <c r="E1" s="2">
        <f>'Chase #156'!A6</f>
        <v/>
      </c>
      <c r="F1" s="2">
        <f>'Chase #156'!A7</f>
        <v/>
      </c>
      <c r="G1" s="2">
        <f>'Chase #156'!A8</f>
        <v/>
      </c>
      <c r="H1" s="2">
        <f>'Chase #156'!A9</f>
        <v/>
      </c>
      <c r="I1" s="2">
        <f>'Chase #156'!A10</f>
        <v/>
      </c>
      <c r="J1" s="2">
        <f>'Chase #156'!A11</f>
        <v/>
      </c>
      <c r="K1" s="2">
        <f>'Chase #156'!A12</f>
        <v/>
      </c>
      <c r="L1" s="2">
        <f>'Chase #156'!A13</f>
        <v/>
      </c>
      <c r="M1" s="2">
        <f>'Chase #156'!A14</f>
        <v/>
      </c>
      <c r="N1" s="2" t="inlineStr">
        <is>
          <t>TOTAL</t>
        </is>
      </c>
      <c r="O1" s="2" t="inlineStr">
        <is>
          <t>CATEGORY</t>
        </is>
      </c>
    </row>
    <row r="2">
      <c r="A2" s="1" t="inlineStr">
        <is>
          <t>AMAOZN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3">
        <f>SUM(B2,C2,D2,E2,F2,G2,H2,I2,J2,K2,L2,M2)</f>
        <v/>
      </c>
      <c r="O2" s="1" t="inlineStr">
        <is>
          <t>SUPPLY</t>
        </is>
      </c>
    </row>
    <row r="3">
      <c r="A3" s="1" t="inlineStr">
        <is>
          <t>TAREGE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3">
        <f>SUM(B3,C3,D3,E3,F3,G3,H3,I3,J3,K3,L3,M3)</f>
        <v/>
      </c>
      <c r="O3" s="1" t="inlineStr">
        <is>
          <t>GASOLINE</t>
        </is>
      </c>
    </row>
    <row r="4">
      <c r="A4" s="1" t="inlineStr">
        <is>
          <t>CUBE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3">
        <f>SUM(B4,C4,D4,E4,F4,G4,H4,I4,J4,K4,L4,M4)</f>
        <v/>
      </c>
      <c r="O4" s="1" t="inlineStr">
        <is>
          <t>SUPRER</t>
        </is>
      </c>
    </row>
    <row r="5">
      <c r="A5" s="1" t="inlineStr">
        <is>
          <t>AGASD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3">
        <f>SUM(B5,C5,D5,E5,F5,G5,H5,I5,J5,K5,L5,M5)</f>
        <v/>
      </c>
      <c r="O5" s="1" t="inlineStr">
        <is>
          <t>SUPPLY</t>
        </is>
      </c>
    </row>
    <row r="6">
      <c r="A6" s="1" t="inlineStr">
        <is>
          <t>No1 Sushi 88</t>
        </is>
      </c>
      <c r="B6" s="3">
        <f>4000+4000</f>
        <v/>
      </c>
      <c r="C6" s="1">
        <f>4000+4000</f>
        <v/>
      </c>
      <c r="D6" s="1">
        <f>4000+4000</f>
        <v/>
      </c>
      <c r="E6" s="1">
        <f>4000+4000</f>
        <v/>
      </c>
      <c r="F6" s="1">
        <f>4000+4000</f>
        <v/>
      </c>
      <c r="G6" s="1" t="n"/>
      <c r="H6" s="1" t="n"/>
      <c r="I6" s="1" t="n"/>
      <c r="J6" s="1" t="n"/>
      <c r="K6" s="1" t="n"/>
      <c r="L6" s="1" t="n"/>
      <c r="M6" s="1" t="n"/>
      <c r="N6" s="3">
        <f>SUM(B6,C6,D6,E6,F6,G6,H6,I6,J6,K6,L6,M6)</f>
        <v/>
      </c>
      <c r="O6" s="1" t="inlineStr">
        <is>
          <t>REVIEW</t>
        </is>
      </c>
    </row>
    <row r="7">
      <c r="A7" s="1" t="inlineStr">
        <is>
          <t>Internet Trf To Client-Added Transfer Account</t>
        </is>
      </c>
      <c r="B7" s="3">
        <f>385.77+740+453+385.77</f>
        <v/>
      </c>
      <c r="C7" s="3">
        <f>385.77+740+453+385.77</f>
        <v/>
      </c>
      <c r="D7" s="3">
        <f>385.77+740+453+385.77</f>
        <v/>
      </c>
      <c r="E7" s="3">
        <f>385.77+740+453+385.77</f>
        <v/>
      </c>
      <c r="F7" s="3">
        <f>385.77+740+453+385.77</f>
        <v/>
      </c>
      <c r="G7" s="1" t="n"/>
      <c r="H7" s="1" t="n"/>
      <c r="I7" s="1" t="n"/>
      <c r="J7" s="1" t="n"/>
      <c r="K7" s="1" t="n"/>
      <c r="L7" s="1" t="n"/>
      <c r="M7" s="1" t="n"/>
      <c r="N7" s="3">
        <f>SUM(B7,C7,D7,E7,F7,G7,H7,I7,J7,K7,L7,M7)</f>
        <v/>
      </c>
      <c r="O7" s="1" t="inlineStr">
        <is>
          <t>REVIEW</t>
        </is>
      </c>
    </row>
    <row r="8">
      <c r="A8" s="1" t="inlineStr">
        <is>
          <t>Veolia Water</t>
        </is>
      </c>
      <c r="B8" s="3">
        <f>300+300</f>
        <v/>
      </c>
      <c r="C8" s="1">
        <f>300+300</f>
        <v/>
      </c>
      <c r="D8" s="1">
        <f>300+300</f>
        <v/>
      </c>
      <c r="E8" s="1">
        <f>300+300</f>
        <v/>
      </c>
      <c r="F8" s="1">
        <f>300+300</f>
        <v/>
      </c>
      <c r="G8" s="1" t="n"/>
      <c r="H8" s="1" t="n"/>
      <c r="I8" s="1" t="n"/>
      <c r="J8" s="1" t="n"/>
      <c r="K8" s="1" t="n"/>
      <c r="L8" s="1" t="n"/>
      <c r="M8" s="1" t="n"/>
      <c r="N8" s="3">
        <f>SUM(B8,C8,D8,E8,F8,G8,H8,I8,J8,K8,L8,M8)</f>
        <v/>
      </c>
      <c r="O8" s="1" t="inlineStr">
        <is>
          <t>REVIEW</t>
        </is>
      </c>
    </row>
    <row r="9">
      <c r="A9" s="1" t="inlineStr">
        <is>
          <t>Orange &amp; Rockland</t>
        </is>
      </c>
      <c r="B9" s="3">
        <f>350+2400</f>
        <v/>
      </c>
      <c r="C9" s="1">
        <f>350+2400</f>
        <v/>
      </c>
      <c r="D9" s="1">
        <f>350+2400</f>
        <v/>
      </c>
      <c r="E9" s="1">
        <f>350+2400</f>
        <v/>
      </c>
      <c r="F9" s="1">
        <f>350+2400</f>
        <v/>
      </c>
      <c r="G9" s="1" t="n"/>
      <c r="H9" s="1" t="n"/>
      <c r="I9" s="1" t="n"/>
      <c r="J9" s="1" t="n"/>
      <c r="K9" s="1" t="n"/>
      <c r="L9" s="1" t="n"/>
      <c r="M9" s="1" t="n"/>
      <c r="N9" s="3">
        <f>SUM(B9,C9,D9,E9,F9,G9,H9,I9,J9,K9,L9,M9)</f>
        <v/>
      </c>
      <c r="O9" s="1" t="inlineStr">
        <is>
          <t>REVIEW</t>
        </is>
      </c>
    </row>
    <row r="10">
      <c r="A10" s="1" t="inlineStr">
        <is>
          <t>Withdrawal Branch</t>
        </is>
      </c>
      <c r="B10" s="3">
        <f>1000+3200+3800</f>
        <v/>
      </c>
      <c r="C10" s="1">
        <f>1000+3200+3800</f>
        <v/>
      </c>
      <c r="D10" s="1">
        <f>1000+3200+3800</f>
        <v/>
      </c>
      <c r="E10" s="1">
        <f>1000+3200+3800</f>
        <v/>
      </c>
      <c r="F10" s="1">
        <f>1000+3200+3800</f>
        <v/>
      </c>
      <c r="G10" s="1" t="n"/>
      <c r="H10" s="1" t="n"/>
      <c r="I10" s="1" t="n"/>
      <c r="J10" s="1" t="n"/>
      <c r="K10" s="1" t="n"/>
      <c r="L10" s="1" t="n"/>
      <c r="M10" s="1" t="n"/>
      <c r="N10" s="3">
        <f>SUM(B10,C10,D10,E10,F10,G10,H10,I10,J10,K10,L10,M10)</f>
        <v/>
      </c>
      <c r="O10" s="1" t="inlineStr">
        <is>
          <t>REVIEW</t>
        </is>
      </c>
    </row>
    <row r="11" s="5">
      <c r="A11" s="1" t="inlineStr">
        <is>
          <t>Amazon</t>
        </is>
      </c>
      <c r="B11" s="3">
        <f>1.00+1.00+1.00+1.00+1.00+1.00+1.00+75.40+26.57+18.75+117.76+50.03+71.79+152.14+20.80+40.33+343.93+17.59+109.43+13.79</f>
        <v/>
      </c>
      <c r="C11" s="3">
        <f>1.00+1.00+1.00+1.00+1.00+1.00+1.00+75.40+26.57+18.75+117.76+50.03+71.79+152.14+20.80+40.33+343.93+17.59+109.43+13.79</f>
        <v/>
      </c>
      <c r="D11" s="3">
        <f>1.00+1.00+1.00+1.00+1.00+1.00+1.00+75.40+26.57+18.75+117.76+50.03+71.79+152.14+20.80+40.33+343.93+17.59+109.43+13.79</f>
        <v/>
      </c>
      <c r="E11" s="3">
        <f>1.00+1.00+1.00+1.00+1.00+1.00+1.00+75.40+26.57+18.75+117.76+50.03+71.79+152.14+20.80+40.33+343.93+17.59+109.43+13.79</f>
        <v/>
      </c>
      <c r="F11" s="3">
        <f>1.00+1.00+1.00+1.00+1.00+1.00+1.00+75.40+26.57+18.75+117.76+50.03+71.79+152.14+20.80+40.33+343.93+17.59+109.43+13.79</f>
        <v/>
      </c>
      <c r="G11" s="3">
        <f>1.00+1.00+1.00+1.00+1.00+1.00+1.00</f>
        <v/>
      </c>
      <c r="H11" s="3">
        <f>1.00+1.00+1.00+1.00+1.00+1.00+1.00</f>
        <v/>
      </c>
      <c r="I11" s="3">
        <f>1.00+1.00+1.00+1.00+1.00+1.00+1.00</f>
        <v/>
      </c>
      <c r="J11" s="1" t="n"/>
      <c r="K11" s="1" t="n"/>
      <c r="L11" s="1" t="n"/>
      <c r="M11" s="1" t="n"/>
      <c r="N11" s="3">
        <f>SUM(B11,C11,D11,E11,F11,G11,H11,I11,J11,K11,L11,M11)</f>
        <v/>
      </c>
      <c r="O11" s="1" t="n"/>
    </row>
    <row r="12" s="5">
      <c r="A12" s="1" t="inlineStr">
        <is>
          <t>Nys Dtf Pit Tax Paymnt</t>
        </is>
      </c>
      <c r="B12" s="3">
        <f>200+200</f>
        <v/>
      </c>
      <c r="C12" s="3">
        <f>200+200</f>
        <v/>
      </c>
      <c r="D12" s="3">
        <f>200+200</f>
        <v/>
      </c>
      <c r="E12" s="3">
        <f>200+200</f>
        <v/>
      </c>
      <c r="F12" s="3">
        <f>200+200</f>
        <v/>
      </c>
      <c r="G12" s="1" t="n"/>
      <c r="H12" s="1" t="n"/>
      <c r="I12" s="1" t="n"/>
      <c r="J12" s="1" t="n"/>
      <c r="K12" s="1" t="n"/>
      <c r="L12" s="1" t="n"/>
      <c r="M12" s="1" t="n"/>
      <c r="N12" s="3">
        <f>SUM(B12,C12,D12,E12,F12,G12,H12,I12,J12,K12,L12,M12)</f>
        <v/>
      </c>
      <c r="O12" s="1" t="inlineStr">
        <is>
          <t>REVIEW</t>
        </is>
      </c>
    </row>
    <row r="13" s="5">
      <c r="A13" s="1" t="inlineStr">
        <is>
          <t>Kindercare Portland OR</t>
        </is>
      </c>
      <c r="B13" s="3">
        <f>490+120+55</f>
        <v/>
      </c>
      <c r="C13" s="3">
        <f>490+120+55</f>
        <v/>
      </c>
      <c r="D13" s="3">
        <f>490+120+55</f>
        <v/>
      </c>
      <c r="E13" s="3">
        <f>490+120+55</f>
        <v/>
      </c>
      <c r="F13" s="3">
        <f>490+120+55</f>
        <v/>
      </c>
      <c r="G13" s="1" t="n"/>
      <c r="H13" s="1" t="n"/>
      <c r="I13" s="1" t="n"/>
      <c r="J13" s="1" t="n"/>
      <c r="K13" s="1" t="n"/>
      <c r="L13" s="1" t="n"/>
      <c r="M13" s="1" t="n"/>
      <c r="N13" s="3">
        <f>SUM(B13,C13,D13,E13,F13,G13,H13,I13,J13,K13,L13,M13)</f>
        <v/>
      </c>
      <c r="O13" s="1" t="inlineStr">
        <is>
          <t>REVIEW</t>
        </is>
      </c>
    </row>
    <row r="14" s="5">
      <c r="A14" s="1" t="inlineStr">
        <is>
          <t>Amazon Prime</t>
        </is>
      </c>
      <c r="B14" s="3">
        <f>16.25</f>
        <v/>
      </c>
      <c r="C14" s="1">
        <f>16.25</f>
        <v/>
      </c>
      <c r="D14" s="1">
        <f>16.25</f>
        <v/>
      </c>
      <c r="E14" s="1">
        <f>16.25</f>
        <v/>
      </c>
      <c r="F14" s="1">
        <f>16.25</f>
        <v/>
      </c>
      <c r="G14" s="1" t="n"/>
      <c r="H14" s="1" t="n"/>
      <c r="I14" s="1" t="n"/>
      <c r="J14" s="1" t="n"/>
      <c r="K14" s="1" t="n"/>
      <c r="L14" s="1" t="n"/>
      <c r="M14" s="1" t="n"/>
      <c r="N14" s="3">
        <f>SUM(B14,C14,D14,E14,F14,G14,H14,I14,J14,K14,L14,M14)</f>
        <v/>
      </c>
      <c r="O14" s="1" t="inlineStr">
        <is>
          <t>REVIEW</t>
        </is>
      </c>
    </row>
    <row r="15" s="5">
      <c r="A15" s="1" t="inlineStr">
        <is>
          <t>Irs Usataxpymt</t>
        </is>
      </c>
      <c r="B15" s="3">
        <f>800+800</f>
        <v/>
      </c>
      <c r="C15" s="3">
        <f>800+800</f>
        <v/>
      </c>
      <c r="D15" s="3">
        <f>800+800</f>
        <v/>
      </c>
      <c r="E15" s="3">
        <f>800+800</f>
        <v/>
      </c>
      <c r="F15" s="3">
        <f>800+800</f>
        <v/>
      </c>
      <c r="G15" s="1" t="n"/>
      <c r="H15" s="1" t="n"/>
      <c r="I15" s="1" t="n"/>
      <c r="J15" s="1" t="n"/>
      <c r="K15" s="1" t="n"/>
      <c r="L15" s="1" t="n"/>
      <c r="M15" s="1" t="n"/>
      <c r="N15" s="3">
        <f>SUM(B15,C15,D15,E15,F15,G15,H15,I15,J15,K15,L15,M15)</f>
        <v/>
      </c>
      <c r="O15" s="1" t="inlineStr">
        <is>
          <t>REVIEW</t>
        </is>
      </c>
    </row>
    <row r="16" s="5">
      <c r="A16" s="1" t="inlineStr">
        <is>
          <t>Credit One Bank Payment</t>
        </is>
      </c>
      <c r="B16" s="3">
        <f>817.29</f>
        <v/>
      </c>
      <c r="C16" s="3">
        <f>817.29</f>
        <v/>
      </c>
      <c r="D16" s="3">
        <f>817.29</f>
        <v/>
      </c>
      <c r="E16" s="3">
        <f>817.29</f>
        <v/>
      </c>
      <c r="F16" s="3">
        <f>817.29</f>
        <v/>
      </c>
      <c r="G16" s="1" t="n"/>
      <c r="H16" s="1" t="n"/>
      <c r="I16" s="1" t="n"/>
      <c r="J16" s="1" t="n"/>
      <c r="K16" s="1" t="n"/>
      <c r="L16" s="1" t="n"/>
      <c r="M16" s="1" t="n"/>
      <c r="N16" s="3">
        <f>SUM(B16,C16,D16,E16,F16,G16,H16,I16,J16,K16,L16,M16)</f>
        <v/>
      </c>
      <c r="O16" s="1" t="inlineStr">
        <is>
          <t>REVIEW</t>
        </is>
      </c>
    </row>
    <row r="17" s="5">
      <c r="A17" s="1" t="inlineStr">
        <is>
          <t>Prog Casualty Ins Prem</t>
        </is>
      </c>
      <c r="B17" s="3">
        <f>930.52</f>
        <v/>
      </c>
      <c r="C17" s="3">
        <f>930.52</f>
        <v/>
      </c>
      <c r="D17" s="3">
        <f>930.52</f>
        <v/>
      </c>
      <c r="E17" s="3">
        <f>930.52</f>
        <v/>
      </c>
      <c r="F17" s="3">
        <f>930.52</f>
        <v/>
      </c>
      <c r="G17" s="1" t="n"/>
      <c r="H17" s="1" t="n"/>
      <c r="I17" s="1" t="n"/>
      <c r="J17" s="1" t="n"/>
      <c r="K17" s="1" t="n"/>
      <c r="L17" s="1" t="n"/>
      <c r="M17" s="1" t="n"/>
      <c r="N17" s="3">
        <f>SUM(B17,C17,D17,E17,F17,G17,H17,I17,J17,K17,L17,M17)</f>
        <v/>
      </c>
      <c r="O17" s="1" t="inlineStr">
        <is>
          <t>REVIEW</t>
        </is>
      </c>
    </row>
    <row r="18">
      <c r="A18" s="1" t="inlineStr">
        <is>
          <t>Citi Card Onlinepayment</t>
        </is>
      </c>
      <c r="B18" s="3">
        <f>975+364.75+1400</f>
        <v/>
      </c>
      <c r="C18" s="3">
        <f>975+364.75+1400</f>
        <v/>
      </c>
      <c r="D18" s="3">
        <f>975+364.75+1400</f>
        <v/>
      </c>
      <c r="E18" s="3">
        <f>975+364.75+1400</f>
        <v/>
      </c>
      <c r="F18" s="3">
        <f>975+364.75+1400</f>
        <v/>
      </c>
      <c r="G18" s="1" t="n"/>
      <c r="H18" s="1" t="n"/>
      <c r="I18" s="1" t="n"/>
      <c r="J18" s="1" t="n"/>
      <c r="K18" s="1" t="n"/>
      <c r="L18" s="1" t="n"/>
      <c r="M18" s="1" t="n"/>
      <c r="N18" s="3">
        <f>SUM(B18,C18,D18,E18,F18,G18,H18,I18,J18,K18,L18,M18)</f>
        <v/>
      </c>
      <c r="O18" s="1" t="inlineStr">
        <is>
          <t>REVIEW</t>
        </is>
      </c>
    </row>
    <row r="19">
      <c r="A19" s="1" t="inlineStr">
        <is>
          <t>New York State Ins</t>
        </is>
      </c>
      <c r="B19" s="3">
        <f>578</f>
        <v/>
      </c>
      <c r="C19" s="1">
        <f>578</f>
        <v/>
      </c>
      <c r="D19" s="1">
        <f>578</f>
        <v/>
      </c>
      <c r="E19" s="1">
        <f>578</f>
        <v/>
      </c>
      <c r="F19" s="1">
        <f>578</f>
        <v/>
      </c>
      <c r="G19" s="1" t="n"/>
      <c r="H19" s="1" t="n"/>
      <c r="I19" s="1" t="n"/>
      <c r="J19" s="1" t="n"/>
      <c r="K19" s="1" t="n"/>
      <c r="L19" s="1" t="n"/>
      <c r="M19" s="1" t="n"/>
      <c r="N19" s="3">
        <f>SUM(B19,C19,D19,E19,F19,G19,H19,I19,J19,K19,L19,M19)</f>
        <v/>
      </c>
      <c r="O19" s="1" t="inlineStr">
        <is>
          <t>REVIEW</t>
        </is>
      </c>
    </row>
    <row r="20">
      <c r="A20" s="1" t="inlineStr">
        <is>
          <t>Arrow Bank Na Web Pmt</t>
        </is>
      </c>
      <c r="B20" s="3">
        <f>703</f>
        <v/>
      </c>
      <c r="C20" s="3">
        <f>703</f>
        <v/>
      </c>
      <c r="D20" s="3">
        <f>703</f>
        <v/>
      </c>
      <c r="E20" s="3">
        <f>703</f>
        <v/>
      </c>
      <c r="F20" s="3">
        <f>703</f>
        <v/>
      </c>
      <c r="G20" s="1" t="n"/>
      <c r="H20" s="1" t="n"/>
      <c r="I20" s="1" t="n"/>
      <c r="J20" s="1" t="n"/>
      <c r="K20" s="1" t="n"/>
      <c r="L20" s="1" t="n"/>
      <c r="M20" s="1" t="n"/>
      <c r="N20" s="3">
        <f>SUM(B20,C20,D20,E20,F20,G20,H20,I20,J20,K20,L20,M20)</f>
        <v/>
      </c>
      <c r="O20" s="1" t="inlineStr">
        <is>
          <t>REVIEW</t>
        </is>
      </c>
    </row>
    <row r="21">
      <c r="A21" s="1" t="inlineStr">
        <is>
          <t>Huntington Banksil Payment</t>
        </is>
      </c>
      <c r="B21" s="3">
        <f>900</f>
        <v/>
      </c>
      <c r="C21" s="3">
        <f>900</f>
        <v/>
      </c>
      <c r="D21" s="3">
        <f>900</f>
        <v/>
      </c>
      <c r="E21" s="3">
        <f>900</f>
        <v/>
      </c>
      <c r="F21" s="3">
        <f>900</f>
        <v/>
      </c>
      <c r="G21" s="1" t="n"/>
      <c r="H21" s="1" t="n"/>
      <c r="I21" s="1" t="n"/>
      <c r="J21" s="1" t="n"/>
      <c r="K21" s="1" t="n"/>
      <c r="L21" s="1" t="n"/>
      <c r="M21" s="1" t="n"/>
      <c r="N21" s="3">
        <f>SUM(B21,C21,D21,E21,F21,G21,H21,I21,J21,K21,L21,M21)</f>
        <v/>
      </c>
      <c r="O21" s="1" t="inlineStr">
        <is>
          <t>REVIEW</t>
        </is>
      </c>
    </row>
    <row r="22">
      <c r="A22" s="1" t="inlineStr">
        <is>
          <t>Amex Epayment</t>
        </is>
      </c>
      <c r="B22" s="3">
        <f>1000</f>
        <v/>
      </c>
      <c r="C22" s="1">
        <f>1000</f>
        <v/>
      </c>
      <c r="D22" s="1">
        <f>1000</f>
        <v/>
      </c>
      <c r="E22" s="1">
        <f>1000</f>
        <v/>
      </c>
      <c r="F22" s="1">
        <f>1000</f>
        <v/>
      </c>
      <c r="G22" s="1" t="n"/>
      <c r="H22" s="1" t="n"/>
      <c r="I22" s="1" t="n"/>
      <c r="J22" s="1" t="n"/>
      <c r="K22" s="1" t="n"/>
      <c r="L22" s="1" t="n"/>
      <c r="M22" s="1" t="n"/>
      <c r="N22" s="3">
        <f>SUM(B22,C22,D22,E22,F22,G22,H22,I22,J22,K22,L22,M22)</f>
        <v/>
      </c>
      <c r="O22" s="1" t="inlineStr">
        <is>
          <t>REVIEW</t>
        </is>
      </c>
    </row>
    <row r="23">
      <c r="A23" s="1" t="inlineStr">
        <is>
          <t>Associated Mutual</t>
        </is>
      </c>
      <c r="B23" s="3">
        <f>723</f>
        <v/>
      </c>
      <c r="C23" s="1">
        <f>723</f>
        <v/>
      </c>
      <c r="D23" s="1">
        <f>723</f>
        <v/>
      </c>
      <c r="E23" s="1">
        <f>723</f>
        <v/>
      </c>
      <c r="F23" s="1">
        <f>723</f>
        <v/>
      </c>
      <c r="G23" s="1" t="n"/>
      <c r="H23" s="1" t="n"/>
      <c r="I23" s="1" t="n"/>
      <c r="J23" s="1" t="n"/>
      <c r="K23" s="1" t="n"/>
      <c r="L23" s="1" t="n"/>
      <c r="M23" s="1" t="n"/>
      <c r="N23" s="3">
        <f>SUM(B23,C23,D23,E23,F23,G23,H23,I23,J23,K23,L23,M23)</f>
        <v/>
      </c>
      <c r="O23" s="1" t="inlineStr">
        <is>
          <t>REVIEW</t>
        </is>
      </c>
    </row>
    <row r="24">
      <c r="A24" s="1" t="inlineStr">
        <is>
          <t>Paypal Inst Xfer</t>
        </is>
      </c>
      <c r="B24" s="3">
        <f>220</f>
        <v/>
      </c>
      <c r="C24" s="3">
        <f>220</f>
        <v/>
      </c>
      <c r="D24" s="3">
        <f>220</f>
        <v/>
      </c>
      <c r="E24" s="3">
        <f>220</f>
        <v/>
      </c>
      <c r="F24" s="3">
        <f>220</f>
        <v/>
      </c>
      <c r="G24" s="1" t="n"/>
      <c r="H24" s="1" t="n"/>
      <c r="I24" s="1" t="n"/>
      <c r="J24" s="1" t="n"/>
      <c r="K24" s="1" t="n"/>
      <c r="L24" s="1" t="n"/>
      <c r="M24" s="1" t="n"/>
      <c r="N24" s="3">
        <f>SUM(B24,C24,D24,E24,F24,G24,H24,I24,J24,K24,L24,M24)</f>
        <v/>
      </c>
      <c r="O24" s="1" t="inlineStr">
        <is>
          <t>REVIEW</t>
        </is>
      </c>
    </row>
    <row r="25">
      <c r="A25" s="1" t="inlineStr">
        <is>
          <t>Discover Bank Net/Mobile</t>
        </is>
      </c>
      <c r="B25" s="3">
        <f>833.81</f>
        <v/>
      </c>
      <c r="C25" s="3">
        <f>833.81</f>
        <v/>
      </c>
      <c r="D25" s="3">
        <f>833.81</f>
        <v/>
      </c>
      <c r="E25" s="3">
        <f>833.81</f>
        <v/>
      </c>
      <c r="F25" s="3">
        <f>833.81</f>
        <v/>
      </c>
      <c r="G25" s="1" t="n"/>
      <c r="H25" s="1" t="n"/>
      <c r="I25" s="1" t="n"/>
      <c r="J25" s="1" t="n"/>
      <c r="K25" s="1" t="n"/>
      <c r="L25" s="1" t="n"/>
      <c r="M25" s="1" t="n"/>
      <c r="N25" s="3">
        <f>SUM(B25,C25,D25,E25,F25,G25,H25,I25,J25,K25,L25,M25)</f>
        <v/>
      </c>
      <c r="O25" s="1" t="inlineStr">
        <is>
          <t>REVIEW</t>
        </is>
      </c>
    </row>
    <row r="26">
      <c r="A26" s="1" t="inlineStr">
        <is>
          <t>Nylevy Nys Commission</t>
        </is>
      </c>
      <c r="B26" s="3">
        <f>4589.17</f>
        <v/>
      </c>
      <c r="C26" s="1">
        <f>4589.17</f>
        <v/>
      </c>
      <c r="D26" s="1">
        <f>4589.17</f>
        <v/>
      </c>
      <c r="E26" s="1">
        <f>4589.17</f>
        <v/>
      </c>
      <c r="F26" s="1">
        <f>4589.17</f>
        <v/>
      </c>
      <c r="G26" s="1" t="n"/>
      <c r="H26" s="1" t="n"/>
      <c r="I26" s="1" t="n"/>
      <c r="J26" s="1" t="n"/>
      <c r="K26" s="1" t="n"/>
      <c r="L26" s="1" t="n"/>
      <c r="M26" s="1" t="n"/>
      <c r="N26" s="3">
        <f>SUM(B26,C26,D26,E26,F26,G26,H26,I26,J26,K26,L26,M26)</f>
        <v/>
      </c>
      <c r="O26" s="1" t="inlineStr">
        <is>
          <t>REVIEW</t>
        </is>
      </c>
    </row>
    <row r="27">
      <c r="A27" s="1" t="inlineStr">
        <is>
          <t>Total</t>
        </is>
      </c>
      <c r="B27" s="3">
        <f>SUM(B2:B26)</f>
        <v/>
      </c>
      <c r="C27" s="3">
        <f>SUM(C2:C26)</f>
        <v/>
      </c>
      <c r="D27" s="3">
        <f>SUM(D2:D26)</f>
        <v/>
      </c>
      <c r="E27" s="3">
        <f>SUM(E2:E26)</f>
        <v/>
      </c>
      <c r="F27" s="3">
        <f>SUM(F2:F26)</f>
        <v/>
      </c>
      <c r="G27" s="3">
        <f>SUM(G2:G26)</f>
        <v/>
      </c>
      <c r="H27" s="3">
        <f>SUM(H2:H26)</f>
        <v/>
      </c>
      <c r="I27" s="3">
        <f>SUM(I2:I26)</f>
        <v/>
      </c>
      <c r="J27" s="3">
        <f>SUM(J2:J26)</f>
        <v/>
      </c>
      <c r="K27" s="3">
        <f>SUM(K2:K26)</f>
        <v/>
      </c>
      <c r="L27" s="3">
        <f>SUM(L2:L26)</f>
        <v/>
      </c>
      <c r="M27" s="3">
        <f>SUM(M2:M26)</f>
        <v/>
      </c>
      <c r="N27" s="3">
        <f>SUM(B27,C27,D27,E27,F27,G27,H27,I27,J27,K27,L27,M27)</f>
        <v/>
      </c>
      <c r="O27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4" sqref="A14:A27"/>
    </sheetView>
  </sheetViews>
  <sheetFormatPr baseColWidth="8" defaultRowHeight="15"/>
  <cols>
    <col width="42" bestFit="1" customWidth="1" style="5" min="1" max="1"/>
    <col width="7.140625" bestFit="1" customWidth="1" style="5" min="2" max="2"/>
    <col width="9.28515625" bestFit="1" customWidth="1" style="5" min="3" max="4"/>
    <col width="6.28515625" bestFit="1" customWidth="1" style="5" min="5" max="5"/>
    <col width="9.28515625" bestFit="1" customWidth="1" style="5" min="6" max="6"/>
    <col width="7.140625" bestFit="1" customWidth="1" style="5" min="7" max="7"/>
    <col width="7" bestFit="1" customWidth="1" style="5" min="8" max="8"/>
    <col width="7.42578125" bestFit="1" customWidth="1" style="5" min="9" max="9"/>
    <col width="7.28515625" bestFit="1" customWidth="1" style="5" min="10" max="10"/>
    <col width="6.85546875" bestFit="1" customWidth="1" style="5" min="11" max="11"/>
    <col width="7.140625" bestFit="1" customWidth="1" style="5" min="12" max="12"/>
    <col width="7.5703125" bestFit="1" customWidth="1" style="5" min="13" max="13"/>
    <col width="10.42578125" bestFit="1" customWidth="1" style="5" min="14" max="14"/>
    <col width="10.5703125" bestFit="1" customWidth="1" style="5" min="15" max="15"/>
    <col width="9.28515625" bestFit="1" customWidth="1" style="5" min="16" max="16"/>
  </cols>
  <sheetData>
    <row r="1">
      <c r="A1" s="1">
        <f>'Chase #156'!A1</f>
        <v/>
      </c>
      <c r="B1" s="2">
        <f>'Chase #156'!A3</f>
        <v/>
      </c>
      <c r="C1" s="2">
        <f>'Chase #156'!A4</f>
        <v/>
      </c>
      <c r="D1" s="2">
        <f>'Chase #156'!A5</f>
        <v/>
      </c>
      <c r="E1" s="2">
        <f>'Chase #156'!A6</f>
        <v/>
      </c>
      <c r="F1" s="2">
        <f>'Chase #156'!A7</f>
        <v/>
      </c>
      <c r="G1" s="2">
        <f>'Chase #156'!A8</f>
        <v/>
      </c>
      <c r="H1" s="2">
        <f>'Chase #156'!A9</f>
        <v/>
      </c>
      <c r="I1" s="2">
        <f>'Chase #156'!A10</f>
        <v/>
      </c>
      <c r="J1" s="2">
        <f>'Chase #156'!A11</f>
        <v/>
      </c>
      <c r="K1" s="2">
        <f>'Chase #156'!A12</f>
        <v/>
      </c>
      <c r="L1" s="2">
        <f>'Chase #156'!A13</f>
        <v/>
      </c>
      <c r="M1" s="2">
        <f>'Chase #156'!A14</f>
        <v/>
      </c>
      <c r="N1" s="2" t="inlineStr">
        <is>
          <t>TOTAL</t>
        </is>
      </c>
      <c r="O1" s="2" t="inlineStr">
        <is>
          <t>CATEGORY</t>
        </is>
      </c>
      <c r="P1" s="4" t="n">
        <v>46113</v>
      </c>
    </row>
    <row r="2">
      <c r="A2" s="1" t="inlineStr">
        <is>
          <t>AMAOZN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3">
        <f>SUM(B2,C2,D2,E2,F2,G2,H2,I2,J2,K2,L2,M2)</f>
        <v/>
      </c>
      <c r="O2" s="1" t="inlineStr">
        <is>
          <t>SUPPLY</t>
        </is>
      </c>
    </row>
    <row r="3">
      <c r="A3" s="1" t="inlineStr">
        <is>
          <t>TAREGE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3">
        <f>SUM(B3,C3,D3,E3,F3,G3,H3,I3,J3,K3,L3,M3)</f>
        <v/>
      </c>
      <c r="O3" s="1" t="inlineStr">
        <is>
          <t>GASOLINE</t>
        </is>
      </c>
    </row>
    <row r="4">
      <c r="A4" s="1" t="inlineStr">
        <is>
          <t>CUBE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3">
        <f>SUM(B4,C4,D4,E4,F4,G4,H4,I4,J4,K4,L4,M4)</f>
        <v/>
      </c>
      <c r="O4" s="1" t="inlineStr">
        <is>
          <t>SUPRER</t>
        </is>
      </c>
    </row>
    <row r="5">
      <c r="A5" s="1" t="inlineStr">
        <is>
          <t>AGASD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3">
        <f>SUM(B5,C5,D5,E5,F5,G5,H5,I5,J5,K5,L5,M5)</f>
        <v/>
      </c>
      <c r="O5" s="1" t="inlineStr">
        <is>
          <t>SUPPLY</t>
        </is>
      </c>
    </row>
    <row r="6">
      <c r="A6" s="1" t="inlineStr">
        <is>
          <t>No1 Sushi 88</t>
        </is>
      </c>
      <c r="B6" s="1" t="n"/>
      <c r="C6" s="1">
        <f>4000+4000</f>
        <v/>
      </c>
      <c r="D6" s="1">
        <f>4000+4000</f>
        <v/>
      </c>
      <c r="E6" s="1" t="n"/>
      <c r="F6" s="1">
        <f>4000+4000</f>
        <v/>
      </c>
      <c r="G6" s="1" t="n"/>
      <c r="H6" s="1" t="n"/>
      <c r="I6" s="1" t="n"/>
      <c r="J6" s="1" t="n"/>
      <c r="K6" s="1" t="n"/>
      <c r="L6" s="1" t="n"/>
      <c r="M6" s="1" t="n"/>
      <c r="N6" s="3">
        <f>SUM(B6,C6,D6,E6,F6,G6,H6,I6,J6,K6,L6,M6)</f>
        <v/>
      </c>
      <c r="O6" s="1" t="inlineStr">
        <is>
          <t>REVIEW</t>
        </is>
      </c>
      <c r="P6" s="6">
        <f>4000+4000</f>
        <v/>
      </c>
    </row>
    <row r="7">
      <c r="A7" s="1" t="inlineStr">
        <is>
          <t>Internet Trf To Client-Added Transfer Account</t>
        </is>
      </c>
      <c r="B7" s="1" t="n"/>
      <c r="C7" s="3">
        <f>385.77+740+453+385.77</f>
        <v/>
      </c>
      <c r="D7" s="3">
        <f>385.77+740+453+385.77</f>
        <v/>
      </c>
      <c r="E7" s="1" t="n"/>
      <c r="F7" s="3">
        <f>385.77+740+453+385.77</f>
        <v/>
      </c>
      <c r="G7" s="1" t="n"/>
      <c r="H7" s="1" t="n"/>
      <c r="I7" s="1" t="n"/>
      <c r="J7" s="1" t="n"/>
      <c r="K7" s="1" t="n"/>
      <c r="L7" s="1" t="n"/>
      <c r="M7" s="1" t="n"/>
      <c r="N7" s="3">
        <f>SUM(B7,C7,D7,E7,F7,G7,H7,I7,J7,K7,L7,M7)</f>
        <v/>
      </c>
      <c r="O7" s="1" t="inlineStr">
        <is>
          <t>REVIEW</t>
        </is>
      </c>
      <c r="P7" s="6">
        <f>385.77+740+453+385.77</f>
        <v/>
      </c>
    </row>
    <row r="8">
      <c r="A8" s="1" t="inlineStr">
        <is>
          <t>Veolia Water</t>
        </is>
      </c>
      <c r="B8" s="1" t="n"/>
      <c r="C8" s="1">
        <f>300+300</f>
        <v/>
      </c>
      <c r="D8" s="1">
        <f>300+300</f>
        <v/>
      </c>
      <c r="E8" s="1" t="n"/>
      <c r="F8" s="1">
        <f>300+300</f>
        <v/>
      </c>
      <c r="G8" s="1" t="n"/>
      <c r="H8" s="1" t="n"/>
      <c r="I8" s="1" t="n"/>
      <c r="J8" s="1" t="n"/>
      <c r="K8" s="1" t="n"/>
      <c r="L8" s="1" t="n"/>
      <c r="M8" s="1" t="n"/>
      <c r="N8" s="3">
        <f>SUM(B8,C8,D8,E8,F8,G8,H8,I8,J8,K8,L8,M8)</f>
        <v/>
      </c>
      <c r="O8" s="1" t="inlineStr">
        <is>
          <t>REVIEW</t>
        </is>
      </c>
      <c r="P8" s="6">
        <f>300+300</f>
        <v/>
      </c>
    </row>
    <row r="9">
      <c r="A9" s="1" t="inlineStr">
        <is>
          <t>Orange &amp; Rockland</t>
        </is>
      </c>
      <c r="B9" s="1" t="n"/>
      <c r="C9" s="1">
        <f>350+2400</f>
        <v/>
      </c>
      <c r="D9" s="1">
        <f>350+2400</f>
        <v/>
      </c>
      <c r="E9" s="1" t="n"/>
      <c r="F9" s="1">
        <f>350+2400</f>
        <v/>
      </c>
      <c r="G9" s="1" t="n"/>
      <c r="H9" s="1" t="n"/>
      <c r="I9" s="1" t="n"/>
      <c r="J9" s="1" t="n"/>
      <c r="K9" s="1" t="n"/>
      <c r="L9" s="1" t="n"/>
      <c r="M9" s="1" t="n"/>
      <c r="N9" s="3">
        <f>SUM(B9,C9,D9,E9,F9,G9,H9,I9,J9,K9,L9,M9)</f>
        <v/>
      </c>
      <c r="O9" s="1" t="inlineStr">
        <is>
          <t>REVIEW</t>
        </is>
      </c>
      <c r="P9" s="6">
        <f>350+2400</f>
        <v/>
      </c>
    </row>
    <row r="10">
      <c r="A10" s="1" t="inlineStr">
        <is>
          <t>Withdrawal Branch</t>
        </is>
      </c>
      <c r="B10" s="1" t="n"/>
      <c r="C10" s="1">
        <f>1000+3200+3800</f>
        <v/>
      </c>
      <c r="D10" s="1">
        <f>1000+3200+3800</f>
        <v/>
      </c>
      <c r="E10" s="1" t="n"/>
      <c r="F10" s="1">
        <f>1000+3200+3800</f>
        <v/>
      </c>
      <c r="G10" s="1" t="n"/>
      <c r="H10" s="1" t="n"/>
      <c r="I10" s="1" t="n"/>
      <c r="J10" s="1" t="n"/>
      <c r="K10" s="1" t="n"/>
      <c r="L10" s="1" t="n"/>
      <c r="M10" s="1" t="n"/>
      <c r="N10" s="3">
        <f>SUM(B10,C10,D10,E10,F10,G10,H10,I10,J10,K10,L10,M10)</f>
        <v/>
      </c>
      <c r="O10" s="1" t="inlineStr">
        <is>
          <t>REVIEW</t>
        </is>
      </c>
      <c r="P10" s="6">
        <f>1000+3200+3800</f>
        <v/>
      </c>
    </row>
    <row r="11">
      <c r="A11" s="1" t="inlineStr">
        <is>
          <t>Amazon</t>
        </is>
      </c>
      <c r="B11" s="1" t="n"/>
      <c r="C11" s="1">
        <f>75.4+26.57+18.75+117.76+50.03+71.79+152.14+20.8+40.33+343.93+17.59+109.43+13.79</f>
        <v/>
      </c>
      <c r="D11" s="1">
        <f>75.4+26.57+18.75+117.76+50.03+71.79+152.14+20.8+40.33+343.93+17.59+109.43+13.79</f>
        <v/>
      </c>
      <c r="E11" s="1" t="n"/>
      <c r="F11" s="1">
        <f>75.4+26.57+18.75+117.76+50.03+71.79+152.14+20.8+40.33+343.93+17.59+109.43+13.79</f>
        <v/>
      </c>
      <c r="G11" s="1" t="n"/>
      <c r="H11" s="1" t="n"/>
      <c r="I11" s="1" t="n"/>
      <c r="J11" s="1" t="n"/>
      <c r="K11" s="1" t="n"/>
      <c r="L11" s="1" t="n"/>
      <c r="M11" s="1" t="n"/>
      <c r="N11" s="3">
        <f>SUM(B11,C11,D11,E11,F11,G11,H11,I11,J11,K11,L11,M11)</f>
        <v/>
      </c>
      <c r="O11" s="1" t="inlineStr">
        <is>
          <t>REVIEW</t>
        </is>
      </c>
      <c r="P11" s="6">
        <f>75.4+26.57+18.75+117.76+50.03+71.79+152.14+20.8+40.33+343.93+17.59+109.43+13.79</f>
        <v/>
      </c>
    </row>
    <row r="12">
      <c r="A12" s="1" t="inlineStr">
        <is>
          <t>Nys Dtf Pit Tax Paymnt</t>
        </is>
      </c>
      <c r="B12" s="1" t="n"/>
      <c r="C12" s="3">
        <f>200+200</f>
        <v/>
      </c>
      <c r="D12" s="3">
        <f>200+200</f>
        <v/>
      </c>
      <c r="E12" s="1" t="n"/>
      <c r="F12" s="3">
        <f>200+200</f>
        <v/>
      </c>
      <c r="G12" s="1" t="n"/>
      <c r="H12" s="1" t="n"/>
      <c r="I12" s="1" t="n"/>
      <c r="J12" s="1" t="n"/>
      <c r="K12" s="1" t="n"/>
      <c r="L12" s="1" t="n"/>
      <c r="M12" s="1" t="n"/>
      <c r="N12" s="3">
        <f>SUM(B12,C12,D12,E12,F12,G12,H12,I12,J12,K12,L12,M12)</f>
        <v/>
      </c>
      <c r="O12" s="1" t="inlineStr">
        <is>
          <t>REVIEW</t>
        </is>
      </c>
      <c r="P12" s="6">
        <f>200+200</f>
        <v/>
      </c>
    </row>
    <row r="13">
      <c r="A13" s="1" t="inlineStr">
        <is>
          <t>Kindercare Portland OR</t>
        </is>
      </c>
      <c r="B13" s="1" t="n"/>
      <c r="C13" s="3">
        <f>490+120+55</f>
        <v/>
      </c>
      <c r="D13" s="3">
        <f>490+120+55</f>
        <v/>
      </c>
      <c r="E13" s="1" t="n"/>
      <c r="F13" s="3">
        <f>490+120+55</f>
        <v/>
      </c>
      <c r="G13" s="1" t="n"/>
      <c r="H13" s="1" t="n"/>
      <c r="I13" s="1" t="n"/>
      <c r="J13" s="1" t="n"/>
      <c r="K13" s="1" t="n"/>
      <c r="L13" s="1" t="n"/>
      <c r="M13" s="1" t="n"/>
      <c r="N13" s="3">
        <f>SUM(B13,C13,D13,E13,F13,G13,H13,I13,J13,K13,L13,M13)</f>
        <v/>
      </c>
      <c r="O13" s="1" t="inlineStr">
        <is>
          <t>REVIEW</t>
        </is>
      </c>
      <c r="P13" s="6">
        <f>490+120+55</f>
        <v/>
      </c>
    </row>
    <row r="14" s="5">
      <c r="A14" s="1" t="inlineStr">
        <is>
          <t>Amazon Prime</t>
        </is>
      </c>
      <c r="B14" s="1" t="n"/>
      <c r="C14" s="3">
        <f>1.00+1.00+1.00+1.00+1.00+1.00+1.00+1.00+1.00+1.00+1.00+1.00+1.00+16.25</f>
        <v/>
      </c>
      <c r="D14" s="3">
        <f>1.00+1.00+1.00+1.00+1.00+1.00+1.00+1.00+1.00+1.00+1.00+1.00+1.00+16.25</f>
        <v/>
      </c>
      <c r="E14" s="3">
        <f>1.00+1.00+1.00+1.00+1.00+1.00+1.00+1.00+1.00+1.00+1.00+1.00+1.00</f>
        <v/>
      </c>
      <c r="F14" s="3">
        <f>1.00+1.00+1.00+1.00+1.00+1.00+1.00+1.00+1.00+1.00+1.00+1.00+1.00+16.25</f>
        <v/>
      </c>
      <c r="G14" s="1" t="n"/>
      <c r="H14" s="1" t="n"/>
      <c r="I14" s="1" t="n"/>
      <c r="J14" s="1" t="n"/>
      <c r="K14" s="1" t="n"/>
      <c r="L14" s="1" t="n"/>
      <c r="M14" s="1" t="n"/>
      <c r="N14" s="3">
        <f>SUM(B14,C14,D14,E14,F14,G14,H14,I14,J14,K14,L14,M14)</f>
        <v/>
      </c>
      <c r="O14" s="1" t="inlineStr">
        <is>
          <t>REVIEW</t>
        </is>
      </c>
      <c r="P14" s="3">
        <f>1.00+1.00+1.00+1.00+1.00+1.00+1.00+1.00+1.00+1.00+1.00+1.00+1.00+16.25</f>
        <v/>
      </c>
    </row>
    <row r="15" s="5">
      <c r="A15" s="1" t="inlineStr">
        <is>
          <t>Irs Usataxpymt</t>
        </is>
      </c>
      <c r="B15" s="1" t="n"/>
      <c r="C15" s="3">
        <f>800+800</f>
        <v/>
      </c>
      <c r="D15" s="3">
        <f>800+800</f>
        <v/>
      </c>
      <c r="E15" s="1" t="n"/>
      <c r="F15" s="3">
        <f>800+800</f>
        <v/>
      </c>
      <c r="G15" s="1" t="n"/>
      <c r="H15" s="1" t="n"/>
      <c r="I15" s="1" t="n"/>
      <c r="J15" s="1" t="n"/>
      <c r="K15" s="1" t="n"/>
      <c r="L15" s="1" t="n"/>
      <c r="M15" s="1" t="n"/>
      <c r="N15" s="3">
        <f>SUM(B15,C15,D15,E15,F15,G15,H15,I15,J15,K15,L15,M15)</f>
        <v/>
      </c>
      <c r="O15" s="1" t="inlineStr">
        <is>
          <t>REVIEW</t>
        </is>
      </c>
      <c r="P15" s="6">
        <f>800+800</f>
        <v/>
      </c>
    </row>
    <row r="16" s="5">
      <c r="A16" s="1" t="inlineStr">
        <is>
          <t>Credit One Bank Payment</t>
        </is>
      </c>
      <c r="B16" s="1" t="n"/>
      <c r="C16" s="3">
        <f>817.29</f>
        <v/>
      </c>
      <c r="D16" s="3">
        <f>817.29</f>
        <v/>
      </c>
      <c r="E16" s="1" t="n"/>
      <c r="F16" s="3">
        <f>817.29</f>
        <v/>
      </c>
      <c r="G16" s="1" t="n"/>
      <c r="H16" s="1" t="n"/>
      <c r="I16" s="1" t="n"/>
      <c r="J16" s="1" t="n"/>
      <c r="K16" s="1" t="n"/>
      <c r="L16" s="1" t="n"/>
      <c r="M16" s="1" t="n"/>
      <c r="N16" s="3">
        <f>SUM(B16,C16,D16,E16,F16,G16,H16,I16,J16,K16,L16,M16)</f>
        <v/>
      </c>
      <c r="O16" s="1" t="inlineStr">
        <is>
          <t>REVIEW</t>
        </is>
      </c>
      <c r="P16" s="6">
        <f>817.29</f>
        <v/>
      </c>
    </row>
    <row r="17" s="5">
      <c r="A17" s="1" t="inlineStr">
        <is>
          <t>Prog Casualty Ins Prem</t>
        </is>
      </c>
      <c r="B17" s="1" t="n"/>
      <c r="C17" s="3">
        <f>930.52</f>
        <v/>
      </c>
      <c r="D17" s="3">
        <f>930.52</f>
        <v/>
      </c>
      <c r="E17" s="1" t="n"/>
      <c r="F17" s="3">
        <f>930.52</f>
        <v/>
      </c>
      <c r="G17" s="1" t="n"/>
      <c r="H17" s="1" t="n"/>
      <c r="I17" s="1" t="n"/>
      <c r="J17" s="1" t="n"/>
      <c r="K17" s="1" t="n"/>
      <c r="L17" s="1" t="n"/>
      <c r="M17" s="1" t="n"/>
      <c r="N17" s="3">
        <f>SUM(B17,C17,D17,E17,F17,G17,H17,I17,J17,K17,L17,M17)</f>
        <v/>
      </c>
      <c r="O17" s="1" t="inlineStr">
        <is>
          <t>REVIEW</t>
        </is>
      </c>
      <c r="P17" s="6">
        <f>930.52</f>
        <v/>
      </c>
    </row>
    <row r="18" s="5">
      <c r="A18" s="1" t="inlineStr">
        <is>
          <t>Citi Card Onlinepayment</t>
        </is>
      </c>
      <c r="B18" s="1" t="n"/>
      <c r="C18" s="3">
        <f>975+364.75+1400</f>
        <v/>
      </c>
      <c r="D18" s="3">
        <f>975+364.75+1400</f>
        <v/>
      </c>
      <c r="E18" s="1" t="n"/>
      <c r="F18" s="3">
        <f>975+364.75+1400</f>
        <v/>
      </c>
      <c r="G18" s="1" t="n"/>
      <c r="H18" s="1" t="n"/>
      <c r="I18" s="1" t="n"/>
      <c r="J18" s="1" t="n"/>
      <c r="K18" s="1" t="n"/>
      <c r="L18" s="1" t="n"/>
      <c r="M18" s="1" t="n"/>
      <c r="N18" s="3">
        <f>SUM(B18,C18,D18,E18,F18,G18,H18,I18,J18,K18,L18,M18)</f>
        <v/>
      </c>
      <c r="O18" s="1" t="inlineStr">
        <is>
          <t>REVIEW</t>
        </is>
      </c>
      <c r="P18" s="6">
        <f>975+364.75+1400</f>
        <v/>
      </c>
    </row>
    <row r="19" s="5">
      <c r="A19" s="1" t="inlineStr">
        <is>
          <t>New York State Ins</t>
        </is>
      </c>
      <c r="B19" s="1" t="n"/>
      <c r="C19" s="1">
        <f>578</f>
        <v/>
      </c>
      <c r="D19" s="1">
        <f>578</f>
        <v/>
      </c>
      <c r="E19" s="1" t="n"/>
      <c r="F19" s="1">
        <f>578</f>
        <v/>
      </c>
      <c r="G19" s="1" t="n"/>
      <c r="H19" s="1" t="n"/>
      <c r="I19" s="1" t="n"/>
      <c r="J19" s="1" t="n"/>
      <c r="K19" s="1" t="n"/>
      <c r="L19" s="1" t="n"/>
      <c r="M19" s="1" t="n"/>
      <c r="N19" s="3">
        <f>SUM(B19,C19,D19,E19,F19,G19,H19,I19,J19,K19,L19,M19)</f>
        <v/>
      </c>
      <c r="O19" s="1" t="inlineStr">
        <is>
          <t>REVIEW</t>
        </is>
      </c>
      <c r="P19" s="6">
        <f>578</f>
        <v/>
      </c>
    </row>
    <row r="20" s="5">
      <c r="A20" s="1" t="inlineStr">
        <is>
          <t>Arrow Bank Na Web Pmt</t>
        </is>
      </c>
      <c r="B20" s="1" t="n"/>
      <c r="C20" s="3">
        <f>703</f>
        <v/>
      </c>
      <c r="D20" s="3">
        <f>703</f>
        <v/>
      </c>
      <c r="E20" s="1" t="n"/>
      <c r="F20" s="3">
        <f>703</f>
        <v/>
      </c>
      <c r="G20" s="1" t="n"/>
      <c r="H20" s="1" t="n"/>
      <c r="I20" s="1" t="n"/>
      <c r="J20" s="1" t="n"/>
      <c r="K20" s="1" t="n"/>
      <c r="L20" s="1" t="n"/>
      <c r="M20" s="1" t="n"/>
      <c r="N20" s="3">
        <f>SUM(B20,C20,D20,E20,F20,G20,H20,I20,J20,K20,L20,M20)</f>
        <v/>
      </c>
      <c r="O20" s="1" t="inlineStr">
        <is>
          <t>REVIEW</t>
        </is>
      </c>
      <c r="P20" s="6">
        <f>703</f>
        <v/>
      </c>
    </row>
    <row r="21" s="5">
      <c r="A21" s="1" t="inlineStr">
        <is>
          <t>Huntington Banksil Payment</t>
        </is>
      </c>
      <c r="B21" s="1" t="n"/>
      <c r="C21" s="3">
        <f>900</f>
        <v/>
      </c>
      <c r="D21" s="3">
        <f>900</f>
        <v/>
      </c>
      <c r="E21" s="1" t="n"/>
      <c r="F21" s="3">
        <f>900</f>
        <v/>
      </c>
      <c r="G21" s="1" t="n"/>
      <c r="H21" s="1" t="n"/>
      <c r="I21" s="1" t="n"/>
      <c r="J21" s="1" t="n"/>
      <c r="K21" s="1" t="n"/>
      <c r="L21" s="1" t="n"/>
      <c r="M21" s="1" t="n"/>
      <c r="N21" s="3">
        <f>SUM(B21,C21,D21,E21,F21,G21,H21,I21,J21,K21,L21,M21)</f>
        <v/>
      </c>
      <c r="O21" s="1" t="inlineStr">
        <is>
          <t>REVIEW</t>
        </is>
      </c>
      <c r="P21" s="6">
        <f>900</f>
        <v/>
      </c>
    </row>
    <row r="22" s="5">
      <c r="A22" s="1" t="inlineStr">
        <is>
          <t>Amex Epayment</t>
        </is>
      </c>
      <c r="B22" s="1" t="n"/>
      <c r="C22" s="1">
        <f>1000</f>
        <v/>
      </c>
      <c r="D22" s="1">
        <f>1000</f>
        <v/>
      </c>
      <c r="E22" s="1" t="n"/>
      <c r="F22" s="1">
        <f>1000</f>
        <v/>
      </c>
      <c r="G22" s="1" t="n"/>
      <c r="H22" s="1" t="n"/>
      <c r="I22" s="1" t="n"/>
      <c r="J22" s="1" t="n"/>
      <c r="K22" s="1" t="n"/>
      <c r="L22" s="1" t="n"/>
      <c r="M22" s="1" t="n"/>
      <c r="N22" s="3">
        <f>SUM(B22,C22,D22,E22,F22,G22,H22,I22,J22,K22,L22,M22)</f>
        <v/>
      </c>
      <c r="O22" s="1" t="inlineStr">
        <is>
          <t>REVIEW</t>
        </is>
      </c>
      <c r="P22" s="6">
        <f>1000</f>
        <v/>
      </c>
    </row>
    <row r="23" s="5">
      <c r="A23" s="1" t="inlineStr">
        <is>
          <t>Associated Mutual</t>
        </is>
      </c>
      <c r="B23" s="1" t="n"/>
      <c r="C23" s="1">
        <f>723</f>
        <v/>
      </c>
      <c r="D23" s="1">
        <f>723</f>
        <v/>
      </c>
      <c r="E23" s="1" t="n"/>
      <c r="F23" s="1">
        <f>723</f>
        <v/>
      </c>
      <c r="G23" s="1" t="n"/>
      <c r="H23" s="1" t="n"/>
      <c r="I23" s="1" t="n"/>
      <c r="J23" s="1" t="n"/>
      <c r="K23" s="1" t="n"/>
      <c r="L23" s="1" t="n"/>
      <c r="M23" s="1" t="n"/>
      <c r="N23" s="3">
        <f>SUM(B23,C23,D23,E23,F23,G23,H23,I23,J23,K23,L23,M23)</f>
        <v/>
      </c>
      <c r="O23" s="1" t="inlineStr">
        <is>
          <t>REVIEW</t>
        </is>
      </c>
      <c r="P23" s="6">
        <f>723</f>
        <v/>
      </c>
    </row>
    <row r="24" s="5">
      <c r="A24" s="1" t="inlineStr">
        <is>
          <t>Paypal Inst Xfer</t>
        </is>
      </c>
      <c r="B24" s="1" t="n"/>
      <c r="C24" s="3">
        <f>220</f>
        <v/>
      </c>
      <c r="D24" s="3">
        <f>220</f>
        <v/>
      </c>
      <c r="E24" s="1" t="n"/>
      <c r="F24" s="3">
        <f>220</f>
        <v/>
      </c>
      <c r="G24" s="1" t="n"/>
      <c r="H24" s="1" t="n"/>
      <c r="I24" s="1" t="n"/>
      <c r="J24" s="1" t="n"/>
      <c r="K24" s="1" t="n"/>
      <c r="L24" s="1" t="n"/>
      <c r="M24" s="1" t="n"/>
      <c r="N24" s="3">
        <f>SUM(B24,C24,D24,E24,F24,G24,H24,I24,J24,K24,L24,M24)</f>
        <v/>
      </c>
      <c r="O24" s="1" t="inlineStr">
        <is>
          <t>REVIEW</t>
        </is>
      </c>
      <c r="P24" s="6">
        <f>220</f>
        <v/>
      </c>
    </row>
    <row r="25" s="5">
      <c r="A25" s="1" t="inlineStr">
        <is>
          <t>Discover Bank Net/Mobile</t>
        </is>
      </c>
      <c r="B25" s="1" t="n"/>
      <c r="C25" s="3">
        <f>833.81</f>
        <v/>
      </c>
      <c r="D25" s="3">
        <f>833.81</f>
        <v/>
      </c>
      <c r="E25" s="1" t="n"/>
      <c r="F25" s="3">
        <f>833.81</f>
        <v/>
      </c>
      <c r="G25" s="1" t="n"/>
      <c r="H25" s="1" t="n"/>
      <c r="I25" s="1" t="n"/>
      <c r="J25" s="1" t="n"/>
      <c r="K25" s="1" t="n"/>
      <c r="L25" s="1" t="n"/>
      <c r="M25" s="1" t="n"/>
      <c r="N25" s="3">
        <f>SUM(B25,C25,D25,E25,F25,G25,H25,I25,J25,K25,L25,M25)</f>
        <v/>
      </c>
      <c r="O25" s="1" t="inlineStr">
        <is>
          <t>REVIEW</t>
        </is>
      </c>
      <c r="P25" s="6">
        <f>833.81</f>
        <v/>
      </c>
    </row>
    <row r="26" s="5">
      <c r="A26" s="1" t="inlineStr">
        <is>
          <t>Nylevy Nys Commission</t>
        </is>
      </c>
      <c r="B26" s="1" t="n"/>
      <c r="C26" s="1">
        <f>4589.17</f>
        <v/>
      </c>
      <c r="D26" s="1">
        <f>4589.17</f>
        <v/>
      </c>
      <c r="E26" s="1" t="n"/>
      <c r="F26" s="1">
        <f>4589.17</f>
        <v/>
      </c>
      <c r="G26" s="1" t="n"/>
      <c r="H26" s="1" t="n"/>
      <c r="I26" s="1" t="n"/>
      <c r="J26" s="1" t="n"/>
      <c r="K26" s="1" t="n"/>
      <c r="L26" s="1" t="n"/>
      <c r="M26" s="1" t="n"/>
      <c r="N26" s="3">
        <f>SUM(B26,C26,D26,E26,F26,G26,H26,I26,J26,K26,L26,M26)</f>
        <v/>
      </c>
      <c r="O26" s="1" t="inlineStr">
        <is>
          <t>REVIEW</t>
        </is>
      </c>
      <c r="P26" s="6">
        <f>4589.17</f>
        <v/>
      </c>
    </row>
    <row r="27">
      <c r="A27" s="1" t="inlineStr">
        <is>
          <t>Total</t>
        </is>
      </c>
      <c r="B27" s="3">
        <f>SUM(B2:B26)</f>
        <v/>
      </c>
      <c r="C27" s="3">
        <f>SUM(C2:C26)</f>
        <v/>
      </c>
      <c r="D27" s="3">
        <f>SUM(D2:D26)</f>
        <v/>
      </c>
      <c r="E27" s="3">
        <f>SUM(E2:E26)</f>
        <v/>
      </c>
      <c r="F27" s="3">
        <f>SUM(F2:F26)</f>
        <v/>
      </c>
      <c r="G27" s="3">
        <f>SUM(G2:G26)</f>
        <v/>
      </c>
      <c r="H27" s="3">
        <f>SUM(H2:H26)</f>
        <v/>
      </c>
      <c r="I27" s="3">
        <f>SUM(I2:I26)</f>
        <v/>
      </c>
      <c r="J27" s="3">
        <f>SUM(J2:J26)</f>
        <v/>
      </c>
      <c r="K27" s="3">
        <f>SUM(K2:K26)</f>
        <v/>
      </c>
      <c r="L27" s="3">
        <f>SUM(L2:L26)</f>
        <v/>
      </c>
      <c r="M27" s="3">
        <f>SUM(M2:M26)</f>
        <v/>
      </c>
      <c r="N27" s="3">
        <f>SUM(B27,C27,D27,E27,F27,G27,H27,I27,J27,K27,L27,M27)</f>
        <v/>
      </c>
      <c r="O27" s="1" t="n"/>
      <c r="P27" s="1">
        <f>SUM(P2:P39)</f>
        <v/>
      </c>
    </row>
    <row r="28"/>
    <row r="29">
      <c r="A29" t="inlineStr">
        <is>
          <t>BEGIN</t>
        </is>
      </c>
    </row>
    <row r="30">
      <c r="A30" t="inlineStr">
        <is>
          <t>ADD</t>
        </is>
      </c>
      <c r="B30">
        <f>B27</f>
        <v/>
      </c>
      <c r="C30">
        <f>C27</f>
        <v/>
      </c>
      <c r="D30">
        <f>D27</f>
        <v/>
      </c>
      <c r="E30">
        <f>E27</f>
        <v/>
      </c>
      <c r="F30">
        <f>F27</f>
        <v/>
      </c>
      <c r="G30">
        <f>G27</f>
        <v/>
      </c>
      <c r="H30">
        <f>H27</f>
        <v/>
      </c>
      <c r="I30">
        <f>I27</f>
        <v/>
      </c>
      <c r="J30">
        <f>J27</f>
        <v/>
      </c>
      <c r="K30">
        <f>K27</f>
        <v/>
      </c>
      <c r="L30">
        <f>L27</f>
        <v/>
      </c>
      <c r="M30">
        <f>M27</f>
        <v/>
      </c>
    </row>
    <row r="31">
      <c r="A31" t="inlineStr">
        <is>
          <t>LESS</t>
        </is>
      </c>
    </row>
    <row r="32">
      <c r="A32" t="inlineStr">
        <is>
          <t>END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2026-08-18T02:54:05Z</dcterms:created>
  <dcterms:modified xsi:type="dcterms:W3CDTF">2026-08-27T16:40:41Z</dcterms:modified>
</cp:coreProperties>
</file>