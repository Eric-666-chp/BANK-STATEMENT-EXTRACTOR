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1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B11" sqref="B1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6" t="inlineStr">
        <is>
          <t>CHASE #3444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8" t="n"/>
    </row>
    <row r="2" ht="24" customHeight="1">
      <c r="A2" s="6" t="inlineStr">
        <is>
          <t>MONTH</t>
        </is>
      </c>
      <c r="B2" s="6" t="inlineStr">
        <is>
          <t>BEGIN BALANCE</t>
        </is>
      </c>
      <c r="C2" s="6" t="inlineStr">
        <is>
          <t>CASH / CHECK DEPOSIT</t>
        </is>
      </c>
      <c r="D2" s="6" t="inlineStr">
        <is>
          <t>NO1 SUSHI 88 CORKBBO ACH</t>
        </is>
      </c>
      <c r="E2" s="6" t="inlineStr">
        <is>
          <t>VEOLIA WATER</t>
        </is>
      </c>
      <c r="F2" s="6" t="inlineStr">
        <is>
          <t>ORANGE &amp; ROCKLAND</t>
        </is>
      </c>
      <c r="G2" s="6" t="inlineStr">
        <is>
          <t>WITHDRAWAL BRANCH 0964</t>
        </is>
      </c>
      <c r="H2" s="6" t="inlineStr">
        <is>
          <t>AMAZON</t>
        </is>
      </c>
      <c r="I2" s="6" t="inlineStr">
        <is>
          <t>BILL PAY:VEOLIA WATER NEW Y 200045 6BU1T6KR</t>
        </is>
      </c>
      <c r="J2" s="6" t="inlineStr">
        <is>
          <t>BILL PAY:ORANGE &amp; ROCKLAND 136130 6BQ1P6KR</t>
        </is>
      </c>
      <c r="K2" s="6" t="inlineStr">
        <is>
          <t>INTERNET TRF TO CLIENT-ADDED TRANSFER ACCOUNT</t>
        </is>
      </c>
      <c r="L2" s="6" t="inlineStr">
        <is>
          <t>WITHDRAWAL BRANCH 0964 NEW YORK</t>
        </is>
      </c>
      <c r="M2" s="6" t="inlineStr">
        <is>
          <t>POS MAC AMAZON.COM*NX6 SEATTLE WA</t>
        </is>
      </c>
      <c r="N2" s="6" t="inlineStr">
        <is>
          <t>POS MAC AMAZON.COM*9O5 SEATTLE WA</t>
        </is>
      </c>
      <c r="O2" s="6" t="inlineStr">
        <is>
          <t>POS MAC AMAZON.COM*SB8 SEATTLE WA</t>
        </is>
      </c>
      <c r="P2" s="6" t="inlineStr">
        <is>
          <t>NYS DTF PIT TAX PAYMNT</t>
        </is>
      </c>
      <c r="Q2" s="6" t="inlineStr">
        <is>
          <t>TOTAL CREDIT</t>
        </is>
      </c>
      <c r="R2" s="6" t="inlineStr">
        <is>
          <t>DEBIT</t>
        </is>
      </c>
      <c r="S2" s="6" t="inlineStr">
        <is>
          <t>ENDING BALANCE</t>
        </is>
      </c>
    </row>
    <row r="3">
      <c r="A3" s="9" t="n">
        <v>45383</v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9" t="n">
        <v>45413</v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9" t="n">
        <v>45444</v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9" t="n">
        <v>45474</v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9" t="n">
        <v>45505</v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9" t="n">
        <v>45536</v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9" t="n">
        <v>45566</v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9" t="n">
        <v>45597</v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9" t="n">
        <v>45627</v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9" t="n">
        <v>45658</v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9" t="n">
        <v>45689</v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9" t="n">
        <v>45717</v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tabSelected="1" workbookViewId="0">
      <selection activeCell="M2" sqref="M2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6" t="inlineStr">
        <is>
          <t>Merchant</t>
        </is>
      </c>
      <c r="B1" s="10">
        <f>'CHASE #3444'!A3</f>
        <v/>
      </c>
      <c r="C1" s="10">
        <f>'CHASE #3444'!A4</f>
        <v/>
      </c>
      <c r="D1" s="10">
        <f>'CHASE #3444'!A5</f>
        <v/>
      </c>
      <c r="E1" s="10">
        <f>'CHASE #3444'!A6</f>
        <v/>
      </c>
      <c r="F1" s="10">
        <f>'CHASE #3444'!A7</f>
        <v/>
      </c>
      <c r="G1" s="10">
        <f>'CHASE #3444'!A8</f>
        <v/>
      </c>
      <c r="H1" s="10">
        <f>'CHASE #3444'!A9</f>
        <v/>
      </c>
      <c r="I1" s="10">
        <f>'CHASE #3444'!A10</f>
        <v/>
      </c>
      <c r="J1" s="10">
        <f>'CHASE #3444'!A11</f>
        <v/>
      </c>
      <c r="K1" s="10">
        <f>'CHASE #3444'!A12</f>
        <v/>
      </c>
      <c r="L1" s="10">
        <f>'CHASE #3444'!A13</f>
        <v/>
      </c>
      <c r="M1" s="10">
        <f>'CHASE #3444'!A14</f>
        <v/>
      </c>
      <c r="N1" s="6" t="inlineStr">
        <is>
          <t>Total</t>
        </is>
      </c>
      <c r="O1" s="6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>
        <f>SUM(B41,C41,D41,E41,F41,G41,H41,I41,J41,K41,L41,M41)</f>
        <v/>
      </c>
      <c r="O41" s="1" t="n"/>
    </row>
    <row r="42">
      <c r="A42" t="inlineStr">
        <is>
          <t>Total</t>
        </is>
      </c>
      <c r="B42" s="3">
        <f>SUM(B2:B41)</f>
        <v/>
      </c>
      <c r="C42" s="3">
        <f>SUM(C2:C41)</f>
        <v/>
      </c>
      <c r="D42" s="3">
        <f>SUM(D2:D41)</f>
        <v/>
      </c>
      <c r="E42" s="3">
        <f>SUM(E2:E41)</f>
        <v/>
      </c>
      <c r="F42" s="3">
        <f>SUM(F2:F41)</f>
        <v/>
      </c>
      <c r="G42" s="3">
        <f>SUM(G2:G41)</f>
        <v/>
      </c>
      <c r="H42" s="3">
        <f>SUM(H2:H41)</f>
        <v/>
      </c>
      <c r="I42" s="3">
        <f>SUM(I2:I41)</f>
        <v/>
      </c>
      <c r="J42" s="3">
        <f>SUM(J2:J41)</f>
        <v/>
      </c>
      <c r="K42" s="3">
        <f>SUM(K2:K41)</f>
        <v/>
      </c>
      <c r="L42" s="3">
        <f>SUM(L2:L41)</f>
        <v/>
      </c>
      <c r="M42" s="3">
        <f>SUM(M2:M41)</f>
        <v/>
      </c>
      <c r="N42" s="3">
        <f>SUM(B42,C42,D42,E42,F42,G42,H42,I42,J42,K42,L42,M42)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I14" sqref="I14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7.42578125" bestFit="1" customWidth="1" min="6" max="6"/>
    <col width="7.140625" bestFit="1" customWidth="1" min="7" max="7"/>
    <col width="7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6" t="inlineStr">
        <is>
          <t>Merchant</t>
        </is>
      </c>
      <c r="B1" s="10" t="n">
        <v>45748</v>
      </c>
      <c r="C1" s="10" t="n">
        <v>45778</v>
      </c>
      <c r="D1" s="10" t="n">
        <v>45809</v>
      </c>
      <c r="E1" s="10" t="n">
        <v>45839</v>
      </c>
      <c r="F1" s="10" t="n">
        <v>45870</v>
      </c>
      <c r="G1" s="10" t="n">
        <v>45901</v>
      </c>
      <c r="H1" s="10" t="n">
        <v>45931</v>
      </c>
      <c r="I1" s="10" t="n">
        <v>45962</v>
      </c>
      <c r="J1" s="10" t="n">
        <v>45992</v>
      </c>
      <c r="K1" s="10" t="n">
        <v>46023</v>
      </c>
      <c r="L1" s="10" t="n">
        <v>46054</v>
      </c>
      <c r="M1" s="10" t="n">
        <v>46082</v>
      </c>
      <c r="N1" s="10" t="n">
        <v>46113</v>
      </c>
      <c r="O1" s="6" t="inlineStr">
        <is>
          <t>Total</t>
        </is>
      </c>
      <c r="P1" s="6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SUM(B3,C3,D3,E3,F3,G3,H3,I3,J3,K3,L3,M3,N3,Q3)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SUM(B14,C14,D14,E14,F14,G14,H14,I14,J14,K14,L14,M14,N14,Q14)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SUM(B19,C19,D19,E19,F19,G19,H19,I19,J19,K19,L19,M19,N19,Q19)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SUM(B20,C20,D20,E20,F20,G20,H20,I20,J20,K20,L20,M20,N20,Q20)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SUM(B32,C32,D32,E32,F32,G32,H32,I32,J32,K32,L32,M32,N32,Q32)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SUM(B33,C33,D33,E33,F33,G33,H33,I33,J33,K33,L33,M33,N33,Q33)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SUM(B38,C38,D38,E38,F38,G38,H38,I38,J38,K38,L38,M38,N38,Q38)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SUM(B40,C40,D40,E40,F40,G40,H40,I40,J40,K40,L40,M40,N40,Q40)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3">
        <f>SUM(Q2:Q40)</f>
        <v/>
      </c>
    </row>
    <row r="42"/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>
    <row r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2026-08-08T03:02:07Z</dcterms:modified>
</cp:coreProperties>
</file>