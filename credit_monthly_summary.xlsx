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2" activeTab="0" autoFilterDateGrouping="1"/>
  </bookViews>
  <sheets>
    <sheet name="Chase #156" sheetId="1" state="visible" r:id="rId1"/>
    <sheet name="Chase detial #1256" sheetId="2" state="visible" r:id="rId2"/>
    <sheet name="Sheet1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17" fontId="0" fillId="0" borderId="0" pivotButton="0" quotePrefix="0" xfId="0"/>
    <xf numFmtId="0" fontId="0" fillId="0" borderId="1" pivotButton="0" quotePrefix="0" xfId="0"/>
    <xf numFmtId="17" fontId="0" fillId="0" borderId="1" pivotButton="0" quotePrefix="0" xfId="0"/>
    <xf numFmtId="2" fontId="0" fillId="0" borderId="1" pivotButton="0" quotePrefix="0" xfId="0"/>
    <xf numFmtId="17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horizontal="center"/>
    </xf>
    <xf numFmtId="2" fontId="0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tabSelected="1" workbookViewId="0">
      <selection activeCell="I3" sqref="I3:I14"/>
    </sheetView>
  </sheetViews>
  <sheetFormatPr baseColWidth="8" defaultRowHeight="15"/>
  <cols>
    <col width="7.85546875" bestFit="1" customWidth="1" style="6" min="1" max="1"/>
    <col width="10.42578125" bestFit="1" customWidth="1" style="6" min="2" max="2"/>
    <col width="12" bestFit="1" customWidth="1" style="6" min="3" max="3"/>
    <col width="8.7109375" bestFit="1" customWidth="1" style="6" min="4" max="4"/>
    <col width="7.7109375" bestFit="1" customWidth="1" style="6" min="5" max="5"/>
    <col width="11" bestFit="1" customWidth="1" style="6" min="6" max="6"/>
    <col width="6.5703125" bestFit="1" customWidth="1" style="6" min="7" max="7"/>
    <col width="10.42578125" bestFit="1" customWidth="1" style="6" min="8" max="8"/>
  </cols>
  <sheetData>
    <row r="1">
      <c r="A1" s="7" t="inlineStr">
        <is>
          <t>Chase #8565</t>
        </is>
      </c>
      <c r="B1" s="9" t="n"/>
      <c r="C1" s="9" t="n"/>
      <c r="D1" s="9" t="n"/>
      <c r="E1" s="9" t="n"/>
      <c r="F1" s="9" t="n"/>
      <c r="G1" s="9" t="n"/>
      <c r="H1" s="10" t="n"/>
    </row>
    <row r="2">
      <c r="A2" s="2" t="inlineStr">
        <is>
          <t>Month</t>
        </is>
      </c>
      <c r="B2" s="2" t="inlineStr">
        <is>
          <t>Begin</t>
        </is>
      </c>
      <c r="C2" s="2" t="inlineStr">
        <is>
          <t>Atm Deposit</t>
        </is>
      </c>
      <c r="D2" s="2" t="inlineStr">
        <is>
          <t xml:space="preserve">Amazon </t>
        </is>
      </c>
      <c r="E2" s="2" t="inlineStr">
        <is>
          <t>Other</t>
        </is>
      </c>
      <c r="F2" s="2" t="inlineStr">
        <is>
          <t>total Credit</t>
        </is>
      </c>
      <c r="G2" s="2" t="inlineStr">
        <is>
          <t>Debit</t>
        </is>
      </c>
      <c r="H2" s="2" t="inlineStr">
        <is>
          <t>Ending</t>
        </is>
      </c>
    </row>
    <row r="3">
      <c r="A3" s="3" t="n">
        <v>45748</v>
      </c>
      <c r="B3" s="4" t="n">
        <v>0</v>
      </c>
      <c r="C3" s="2" t="n"/>
      <c r="D3" s="2" t="n"/>
      <c r="E3" s="2" t="n"/>
      <c r="F3" s="2">
        <f>SUM(C3:E3)</f>
        <v/>
      </c>
      <c r="G3" s="2">
        <f>'Chase detial #1256'!B49</f>
        <v/>
      </c>
      <c r="H3" s="4">
        <f>B3+F3-G3</f>
        <v/>
      </c>
      <c r="I3" t="n">
        <v>413048</v>
      </c>
      <c r="J3" s="8">
        <f>I3-H3</f>
        <v/>
      </c>
    </row>
    <row r="4">
      <c r="A4" s="3" t="n">
        <v>45778</v>
      </c>
      <c r="B4" s="4">
        <f>H3</f>
        <v/>
      </c>
      <c r="C4" s="2" t="n"/>
      <c r="D4" s="2" t="n"/>
      <c r="E4" s="2" t="n"/>
      <c r="F4" s="2">
        <f>SUM(C4:E4)</f>
        <v/>
      </c>
      <c r="G4" s="2">
        <f>'Chase detial #1256'!C49</f>
        <v/>
      </c>
      <c r="H4" s="4">
        <f>B4+F4-G4</f>
        <v/>
      </c>
      <c r="I4" t="n">
        <v>412604</v>
      </c>
      <c r="J4" s="8">
        <f>I4-H4</f>
        <v/>
      </c>
    </row>
    <row r="5">
      <c r="A5" s="3" t="n">
        <v>45809</v>
      </c>
      <c r="B5" s="4">
        <f>H4</f>
        <v/>
      </c>
      <c r="C5" s="2" t="n"/>
      <c r="D5" s="2" t="n"/>
      <c r="E5" s="2" t="n"/>
      <c r="F5" s="2">
        <f>SUM(C5:E5)</f>
        <v/>
      </c>
      <c r="G5" s="2">
        <f>'Chase detial #1256'!D49</f>
        <v/>
      </c>
      <c r="H5" s="4">
        <f>B5+F5-G5</f>
        <v/>
      </c>
      <c r="I5" t="n">
        <v>425005</v>
      </c>
      <c r="J5" s="8">
        <f>I5-H5</f>
        <v/>
      </c>
    </row>
    <row r="6">
      <c r="A6" s="3" t="n">
        <v>45839</v>
      </c>
      <c r="B6" s="4">
        <f>H5</f>
        <v/>
      </c>
      <c r="C6" s="2" t="n"/>
      <c r="D6" s="2" t="n"/>
      <c r="E6" s="2" t="n"/>
      <c r="F6" s="2">
        <f>SUM(C6:E6)</f>
        <v/>
      </c>
      <c r="G6" s="2">
        <f>'Chase detial #1256'!E49</f>
        <v/>
      </c>
      <c r="H6" s="4">
        <f>B6+F6-G6</f>
        <v/>
      </c>
      <c r="I6" t="n">
        <v>437378</v>
      </c>
      <c r="J6" s="8">
        <f>I6-H6</f>
        <v/>
      </c>
    </row>
    <row r="7">
      <c r="A7" s="3" t="n">
        <v>45870</v>
      </c>
      <c r="B7" s="4">
        <f>H6</f>
        <v/>
      </c>
      <c r="C7" s="2" t="n"/>
      <c r="D7" s="2" t="n"/>
      <c r="E7" s="2" t="n"/>
      <c r="F7" s="2">
        <f>SUM(C7:E7)</f>
        <v/>
      </c>
      <c r="G7" s="2">
        <f>'Chase detial #1256'!F49</f>
        <v/>
      </c>
      <c r="H7" s="4">
        <f>B7+F7-G7</f>
        <v/>
      </c>
      <c r="I7" t="n">
        <v>438873</v>
      </c>
      <c r="J7" s="8">
        <f>I7-H7</f>
        <v/>
      </c>
    </row>
    <row r="8">
      <c r="A8" s="3" t="n">
        <v>45901</v>
      </c>
      <c r="B8" s="4">
        <f>H7</f>
        <v/>
      </c>
      <c r="C8" s="2" t="n"/>
      <c r="D8" s="2" t="n"/>
      <c r="E8" s="2" t="n"/>
      <c r="F8" s="2">
        <f>SUM(C8:E8)</f>
        <v/>
      </c>
      <c r="G8" s="2">
        <f>'Chase detial #1256'!G49</f>
        <v/>
      </c>
      <c r="H8" s="4">
        <f>B8+F8-G8</f>
        <v/>
      </c>
      <c r="I8" t="n">
        <v>438831</v>
      </c>
      <c r="J8" s="8">
        <f>I8-H8</f>
        <v/>
      </c>
    </row>
    <row r="9">
      <c r="A9" s="3" t="n">
        <v>45931</v>
      </c>
      <c r="B9" s="4">
        <f>H8</f>
        <v/>
      </c>
      <c r="C9" s="2" t="n"/>
      <c r="D9" s="2" t="n"/>
      <c r="E9" s="2" t="n"/>
      <c r="F9" s="2">
        <f>SUM(C9:E9)</f>
        <v/>
      </c>
      <c r="G9" s="2">
        <f>'Chase detial #1256'!H49</f>
        <v/>
      </c>
      <c r="H9" s="4">
        <f>B9+F9-G9</f>
        <v/>
      </c>
      <c r="I9" t="n">
        <v>592012</v>
      </c>
      <c r="J9" s="8">
        <f>I9-H9</f>
        <v/>
      </c>
    </row>
    <row r="10">
      <c r="A10" s="3" t="n">
        <v>45962</v>
      </c>
      <c r="B10" s="4">
        <f>H9</f>
        <v/>
      </c>
      <c r="C10" s="2" t="n"/>
      <c r="D10" s="2" t="n"/>
      <c r="E10" s="2" t="n"/>
      <c r="F10" s="2">
        <f>SUM(C10:E10)</f>
        <v/>
      </c>
      <c r="G10" s="2">
        <f>'Chase detial #1256'!I49</f>
        <v/>
      </c>
      <c r="H10" s="4">
        <f>B10+F10-G10</f>
        <v/>
      </c>
      <c r="I10" t="n">
        <v>579559</v>
      </c>
      <c r="J10" s="8">
        <f>I10-H10</f>
        <v/>
      </c>
    </row>
    <row r="11">
      <c r="A11" s="3" t="n">
        <v>45992</v>
      </c>
      <c r="B11" s="4">
        <f>H10</f>
        <v/>
      </c>
      <c r="C11" s="2" t="n"/>
      <c r="D11" s="2" t="n"/>
      <c r="E11" s="2" t="n"/>
      <c r="F11" s="2">
        <f>SUM(C11:E11)</f>
        <v/>
      </c>
      <c r="G11" s="2">
        <f>'Chase detial #1256'!J49</f>
        <v/>
      </c>
      <c r="H11" s="4">
        <f>B11+F11-G11</f>
        <v/>
      </c>
      <c r="I11" t="n">
        <v>703255</v>
      </c>
      <c r="J11" s="8">
        <f>I11-H11</f>
        <v/>
      </c>
    </row>
    <row r="12">
      <c r="A12" s="3" t="n">
        <v>46023</v>
      </c>
      <c r="B12" s="4">
        <f>H11</f>
        <v/>
      </c>
      <c r="C12" s="2" t="n"/>
      <c r="D12" s="2" t="n"/>
      <c r="E12" s="2" t="n"/>
      <c r="F12" s="2">
        <f>SUM(C12:E12)</f>
        <v/>
      </c>
      <c r="G12" s="2">
        <f>'Chase detial #1256'!K49</f>
        <v/>
      </c>
      <c r="H12" s="4">
        <f>B12+F12-G12</f>
        <v/>
      </c>
      <c r="I12" t="n">
        <v>698719</v>
      </c>
      <c r="J12" s="8">
        <f>I12-H12</f>
        <v/>
      </c>
    </row>
    <row r="13">
      <c r="A13" s="3" t="n">
        <v>46054</v>
      </c>
      <c r="B13" s="4">
        <f>H12</f>
        <v/>
      </c>
      <c r="C13" s="2" t="n"/>
      <c r="D13" s="2" t="n"/>
      <c r="E13" s="2" t="n"/>
      <c r="F13" s="2">
        <f>SUM(C13:E13)</f>
        <v/>
      </c>
      <c r="G13" s="2">
        <f>'Chase detial #1256'!L49</f>
        <v/>
      </c>
      <c r="H13" s="4">
        <f>B13+F13-G13</f>
        <v/>
      </c>
      <c r="I13" t="n">
        <v>713229</v>
      </c>
      <c r="J13" s="8">
        <f>I13-H13</f>
        <v/>
      </c>
    </row>
    <row r="14">
      <c r="A14" s="3" t="n">
        <v>46082</v>
      </c>
      <c r="B14" s="4">
        <f>H13</f>
        <v/>
      </c>
      <c r="C14" s="2" t="n"/>
      <c r="D14" s="2" t="n"/>
      <c r="E14" s="2" t="n"/>
      <c r="F14" s="2">
        <f>SUM(C14:E14)</f>
        <v/>
      </c>
      <c r="G14" s="2">
        <f>'Chase detial #1256'!M49</f>
        <v/>
      </c>
      <c r="H14" s="4">
        <f>B14+F14-G14</f>
        <v/>
      </c>
      <c r="I14" t="n">
        <v>716586</v>
      </c>
      <c r="J14" s="8">
        <f>I14-H14</f>
        <v/>
      </c>
    </row>
    <row r="15">
      <c r="A15" s="3" t="inlineStr">
        <is>
          <t>Total</t>
        </is>
      </c>
      <c r="B15" s="3" t="n"/>
      <c r="C15" s="2">
        <f>SUM(C3:C14)</f>
        <v/>
      </c>
      <c r="D15" s="2">
        <f>SUM(D3:D14)</f>
        <v/>
      </c>
      <c r="E15" s="2">
        <f>SUM(E3:E14)</f>
        <v/>
      </c>
      <c r="F15" s="2">
        <f>SUM(F3:F14)</f>
        <v/>
      </c>
      <c r="G15" s="2">
        <f>SUM(G3:G14)</f>
        <v/>
      </c>
      <c r="H15" s="2" t="n"/>
    </row>
    <row r="16">
      <c r="A16" s="5" t="n"/>
      <c r="B16" s="5" t="n"/>
    </row>
    <row r="17">
      <c r="A17" t="inlineStr">
        <is>
          <t>eRIC</t>
        </is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selection activeCell="O14" sqref="A1:O14"/>
    </sheetView>
  </sheetViews>
  <sheetFormatPr baseColWidth="8" defaultRowHeight="15"/>
  <cols>
    <col width="12.28515625" bestFit="1" customWidth="1" style="6" min="1" max="1"/>
    <col width="7.140625" bestFit="1" customWidth="1" style="6" min="2" max="2"/>
    <col width="7.85546875" bestFit="1" customWidth="1" style="6" min="3" max="3"/>
    <col width="6.85546875" bestFit="1" customWidth="1" style="6" min="4" max="4"/>
    <col width="6.28515625" bestFit="1" customWidth="1" style="6" min="5" max="5"/>
    <col width="7.28515625" bestFit="1" customWidth="1" style="6" min="6" max="6"/>
    <col width="7.140625" bestFit="1" customWidth="1" style="6" min="7" max="7"/>
    <col width="7" bestFit="1" customWidth="1" style="6" min="8" max="8"/>
    <col width="7.42578125" bestFit="1" customWidth="1" style="6" min="9" max="9"/>
    <col width="7.28515625" bestFit="1" customWidth="1" style="6" min="10" max="10"/>
    <col width="6.85546875" bestFit="1" customWidth="1" style="6" min="11" max="11"/>
    <col width="7.140625" bestFit="1" customWidth="1" style="6" min="12" max="12"/>
    <col width="7.5703125" bestFit="1" customWidth="1" style="6" min="13" max="13"/>
    <col width="6.85546875" bestFit="1" customWidth="1" style="6" min="14" max="14"/>
    <col width="10.5703125" bestFit="1" customWidth="1" style="6" min="15" max="15"/>
  </cols>
  <sheetData>
    <row r="1">
      <c r="A1" s="2">
        <f>'Chase #156'!A1</f>
        <v/>
      </c>
      <c r="B1" s="3">
        <f>'Chase #156'!A3</f>
        <v/>
      </c>
      <c r="C1" s="3">
        <f>'Chase #156'!A4</f>
        <v/>
      </c>
      <c r="D1" s="3">
        <f>'Chase #156'!A5</f>
        <v/>
      </c>
      <c r="E1" s="3">
        <f>'Chase #156'!A6</f>
        <v/>
      </c>
      <c r="F1" s="3">
        <f>'Chase #156'!A7</f>
        <v/>
      </c>
      <c r="G1" s="3">
        <f>'Chase #156'!A8</f>
        <v/>
      </c>
      <c r="H1" s="3">
        <f>'Chase #156'!A9</f>
        <v/>
      </c>
      <c r="I1" s="3">
        <f>'Chase #156'!A10</f>
        <v/>
      </c>
      <c r="J1" s="3">
        <f>'Chase #156'!A11</f>
        <v/>
      </c>
      <c r="K1" s="3">
        <f>'Chase #156'!A12</f>
        <v/>
      </c>
      <c r="L1" s="3">
        <f>'Chase #156'!A13</f>
        <v/>
      </c>
      <c r="M1" s="3">
        <f>'Chase #156'!A14</f>
        <v/>
      </c>
      <c r="N1" s="3" t="inlineStr">
        <is>
          <t>TOTAL</t>
        </is>
      </c>
      <c r="O1" s="3" t="inlineStr">
        <is>
          <t>CATEGORY</t>
        </is>
      </c>
    </row>
    <row r="2">
      <c r="A2" s="2" t="inlineStr">
        <is>
          <t>AMAOZN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4">
        <f>SUM(B2,C2,D2,E2,F2,G2,H2,I2,J2,K2,L2,M2)</f>
        <v/>
      </c>
      <c r="O2" s="2" t="inlineStr">
        <is>
          <t>SUPPLY</t>
        </is>
      </c>
    </row>
    <row r="3">
      <c r="A3" s="2" t="inlineStr">
        <is>
          <t>TAREGE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4">
        <f>SUM(B3,C3,D3,E3,F3,G3,H3,I3,J3,K3,L3,M3)</f>
        <v/>
      </c>
      <c r="O3" s="2" t="inlineStr">
        <is>
          <t>GASOLINE</t>
        </is>
      </c>
    </row>
    <row r="4">
      <c r="A4" s="2" t="inlineStr">
        <is>
          <t>CUBE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4">
        <f>SUM(B4,C4,D4,E4,F4,G4,H4,I4,J4,K4,L4,M4)</f>
        <v/>
      </c>
      <c r="O4" s="2" t="inlineStr">
        <is>
          <t>SUPRER</t>
        </is>
      </c>
    </row>
    <row r="5">
      <c r="A5" s="2" t="inlineStr">
        <is>
          <t>AGASD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4">
        <f>SUM(B5,C5,D5,E5,F5,G5,H5,I5,J5,K5,L5,M5)</f>
        <v/>
      </c>
      <c r="O5" s="2" t="inlineStr">
        <is>
          <t>SUPPLY</t>
        </is>
      </c>
    </row>
    <row r="6">
      <c r="A6" s="2" t="inlineStr">
        <is>
          <t>AMAOZN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4">
        <f>SUM(B6,C6,D6,E6,F6,G6,H6,I6,J6,K6,L6,M6)</f>
        <v/>
      </c>
      <c r="O6" s="2" t="inlineStr">
        <is>
          <t>GASOLINE</t>
        </is>
      </c>
    </row>
    <row r="7">
      <c r="A7" s="2" t="inlineStr">
        <is>
          <t>TAREGE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4">
        <f>SUM(B7,C7,D7,E7,F7,G7,H7,I7,J7,K7,L7,M7)</f>
        <v/>
      </c>
      <c r="O7" s="2" t="inlineStr">
        <is>
          <t>SUPRER</t>
        </is>
      </c>
    </row>
    <row r="8">
      <c r="A8" s="2" t="inlineStr">
        <is>
          <t>CUBE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4">
        <f>SUM(B8,C8,D8,E8,F8,G8,H8,I8,J8,K8,L8,M8)</f>
        <v/>
      </c>
      <c r="O8" s="2" t="inlineStr">
        <is>
          <t>SUPPLY</t>
        </is>
      </c>
    </row>
    <row r="9">
      <c r="A9" s="2" t="inlineStr">
        <is>
          <t>AGASD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4">
        <f>SUM(B9,C9,D9,E9,F9,G9,H9,I9,J9,K9,L9,M9)</f>
        <v/>
      </c>
      <c r="O9" s="2" t="inlineStr">
        <is>
          <t>GASOLINE</t>
        </is>
      </c>
    </row>
    <row r="10">
      <c r="A10" s="2" t="inlineStr">
        <is>
          <t>AMAOZN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4">
        <f>SUM(B10,C10,D10,E10,F10,G10,H10,I10,J10,K10,L10,M10)</f>
        <v/>
      </c>
      <c r="O10" s="2" t="inlineStr">
        <is>
          <t>SUPRER</t>
        </is>
      </c>
    </row>
    <row r="11">
      <c r="A11" s="2" t="inlineStr">
        <is>
          <t>TAREGE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4">
        <f>SUM(B11,C11,D11,E11,F11,G11,H11,I11,J11,K11,L11,M11)</f>
        <v/>
      </c>
      <c r="O11" s="2" t="inlineStr">
        <is>
          <t>SUPPLY</t>
        </is>
      </c>
    </row>
    <row r="12">
      <c r="A12" s="2" t="inlineStr">
        <is>
          <t>CUBE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4">
        <f>SUM(B12,C12,D12,E12,F12,G12,H12,I12,J12,K12,L12,M12)</f>
        <v/>
      </c>
      <c r="O12" s="2" t="inlineStr">
        <is>
          <t>GASOLINE</t>
        </is>
      </c>
    </row>
    <row r="13" s="6">
      <c r="A13" s="2" t="inlineStr">
        <is>
          <t>AGASD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4">
        <f>SUM(B13,C13,D13,E13,F13,G13,H13,I13,J13,K13,L13,M13)</f>
        <v/>
      </c>
      <c r="O13" s="2" t="inlineStr">
        <is>
          <t>SUPRER</t>
        </is>
      </c>
    </row>
    <row r="14" s="6">
      <c r="A14" s="2" t="inlineStr">
        <is>
          <t>No1 Sushi 88 Corkbbo ACH</t>
        </is>
      </c>
      <c r="B14" s="4">
        <f>4000.00+4000.00</f>
        <v/>
      </c>
      <c r="C14" s="2" t="n"/>
      <c r="D14" s="2" t="n"/>
      <c r="E14" s="4">
        <f>4000.00+4000.00</f>
        <v/>
      </c>
      <c r="F14" s="2" t="n"/>
      <c r="G14" s="2" t="n"/>
      <c r="H14" s="4">
        <f>4000.00</f>
        <v/>
      </c>
      <c r="I14" s="4">
        <f>4000.00</f>
        <v/>
      </c>
      <c r="J14" s="2" t="n"/>
      <c r="K14" s="2" t="n"/>
      <c r="L14" s="2" t="n"/>
      <c r="M14" s="2" t="n"/>
      <c r="N14" s="4">
        <f>SUM(B14,C14,D14,E14,F14,G14,H14,I14,J14,K14,L14,M14)</f>
        <v/>
      </c>
      <c r="O14" s="2" t="inlineStr">
        <is>
          <t>REVIEW</t>
        </is>
      </c>
    </row>
    <row r="15" s="6">
      <c r="A15" s="2" t="inlineStr">
        <is>
          <t>Internet Trf To Client-Added Transfer Account</t>
        </is>
      </c>
      <c r="B15" s="4">
        <f>385.77+740.00+453.00+385.77</f>
        <v/>
      </c>
      <c r="C15" s="2" t="n"/>
      <c r="D15" s="2" t="n"/>
      <c r="E15" s="4">
        <f>385.77+740.00+453.00+385.77</f>
        <v/>
      </c>
      <c r="F15" s="2" t="n"/>
      <c r="G15" s="2" t="n"/>
      <c r="H15" s="4">
        <f>385.77</f>
        <v/>
      </c>
      <c r="I15" s="4">
        <f>385.77</f>
        <v/>
      </c>
      <c r="J15" s="2" t="n"/>
      <c r="K15" s="2" t="n"/>
      <c r="L15" s="2" t="n"/>
      <c r="M15" s="2" t="n"/>
      <c r="N15" s="4">
        <f>SUM(B15,C15,D15,E15,F15,G15,H15,I15,J15,K15,L15,M15)</f>
        <v/>
      </c>
      <c r="O15" s="2" t="inlineStr">
        <is>
          <t>REVIEW</t>
        </is>
      </c>
    </row>
    <row r="16" s="6">
      <c r="A16" s="2" t="inlineStr">
        <is>
          <t>Bill Pay:Veolia Water New Y 200045 6Bu1T6Kr</t>
        </is>
      </c>
      <c r="B16" s="4">
        <f>300.00</f>
        <v/>
      </c>
      <c r="C16" s="2" t="n"/>
      <c r="D16" s="2" t="n"/>
      <c r="E16" s="4">
        <f>300.00</f>
        <v/>
      </c>
      <c r="F16" s="2" t="n"/>
      <c r="G16" s="2" t="n"/>
      <c r="H16" s="2" t="n"/>
      <c r="I16" s="2" t="n"/>
      <c r="J16" s="2" t="n"/>
      <c r="K16" s="2" t="n"/>
      <c r="L16" s="2" t="n"/>
      <c r="M16" s="2" t="n"/>
      <c r="N16" s="4">
        <f>SUM(B16,C16,D16,E16,F16,G16,H16,I16,J16,K16,L16,M16)</f>
        <v/>
      </c>
      <c r="O16" s="2" t="inlineStr">
        <is>
          <t>REVIEW</t>
        </is>
      </c>
    </row>
    <row r="17" s="6">
      <c r="A17" s="2" t="inlineStr">
        <is>
          <t>Bill Pay:Orange &amp; Rockland 136130 6Bq1P6Kr</t>
        </is>
      </c>
      <c r="B17" s="4">
        <f>350.00</f>
        <v/>
      </c>
      <c r="C17" s="2" t="n"/>
      <c r="D17" s="2" t="n"/>
      <c r="E17" s="4">
        <f>350.00</f>
        <v/>
      </c>
      <c r="F17" s="2" t="n"/>
      <c r="G17" s="2" t="n"/>
      <c r="H17" s="2" t="n"/>
      <c r="I17" s="2" t="n"/>
      <c r="J17" s="2" t="n"/>
      <c r="K17" s="2" t="n"/>
      <c r="L17" s="2" t="n"/>
      <c r="M17" s="2" t="n"/>
      <c r="N17" s="4">
        <f>SUM(B17,C17,D17,E17,F17,G17,H17,I17,J17,K17,L17,M17)</f>
        <v/>
      </c>
      <c r="O17" s="2" t="inlineStr">
        <is>
          <t>REVIEW</t>
        </is>
      </c>
    </row>
    <row r="18" s="6">
      <c r="A18" s="2" t="inlineStr">
        <is>
          <t>Withdrawal Branch 0964 New York</t>
        </is>
      </c>
      <c r="B18" s="4">
        <f>1000.00+3200.00+3800.00</f>
        <v/>
      </c>
      <c r="C18" s="2" t="n"/>
      <c r="D18" s="2" t="n"/>
      <c r="E18" s="4">
        <f>1000.00+3200.00+3800.00</f>
        <v/>
      </c>
      <c r="F18" s="2" t="n"/>
      <c r="G18" s="2" t="n"/>
      <c r="H18" s="4">
        <f>3800.00</f>
        <v/>
      </c>
      <c r="I18" s="4">
        <f>3800.00</f>
        <v/>
      </c>
      <c r="J18" s="2" t="n"/>
      <c r="K18" s="2" t="n"/>
      <c r="L18" s="2" t="n"/>
      <c r="M18" s="2" t="n"/>
      <c r="N18" s="4">
        <f>SUM(B18,C18,D18,E18,F18,G18,H18,I18,J18,K18,L18,M18)</f>
        <v/>
      </c>
      <c r="O18" s="2" t="inlineStr">
        <is>
          <t>REVIEW</t>
        </is>
      </c>
    </row>
    <row r="19" s="6">
      <c r="A19" s="2" t="inlineStr">
        <is>
          <t>POS Mac Amazon.Com*Nx6 Seattle WA</t>
        </is>
      </c>
      <c r="B19" s="4">
        <f>75.40</f>
        <v/>
      </c>
      <c r="C19" s="2" t="n"/>
      <c r="D19" s="2" t="n"/>
      <c r="E19" s="4">
        <f>75.40</f>
        <v/>
      </c>
      <c r="F19" s="2" t="n"/>
      <c r="G19" s="2" t="n"/>
      <c r="H19" s="2" t="n"/>
      <c r="I19" s="2" t="n"/>
      <c r="J19" s="2" t="n"/>
      <c r="K19" s="2" t="n"/>
      <c r="L19" s="2" t="n"/>
      <c r="M19" s="2" t="n"/>
      <c r="N19" s="4">
        <f>SUM(B19,C19,D19,E19,F19,G19,H19,I19,J19,K19,L19,M19)</f>
        <v/>
      </c>
      <c r="O19" s="2" t="inlineStr">
        <is>
          <t>REVIEW</t>
        </is>
      </c>
    </row>
    <row r="20" s="6">
      <c r="A20" s="2" t="inlineStr">
        <is>
          <t>POS Mac Amazon.Com*9O5 Seattle WA</t>
        </is>
      </c>
      <c r="B20" s="4">
        <f>26.57</f>
        <v/>
      </c>
      <c r="C20" s="2" t="n"/>
      <c r="D20" s="2" t="n"/>
      <c r="E20" s="4">
        <f>26.57</f>
        <v/>
      </c>
      <c r="F20" s="2" t="n"/>
      <c r="G20" s="2" t="n"/>
      <c r="H20" s="2" t="n"/>
      <c r="I20" s="2" t="n"/>
      <c r="J20" s="2" t="n"/>
      <c r="K20" s="2" t="n"/>
      <c r="L20" s="2" t="n"/>
      <c r="M20" s="2" t="n"/>
      <c r="N20" s="4">
        <f>SUM(B20,C20,D20,E20,F20,G20,H20,I20,J20,K20,L20,M20)</f>
        <v/>
      </c>
      <c r="O20" s="2" t="inlineStr">
        <is>
          <t>REVIEW</t>
        </is>
      </c>
    </row>
    <row r="21" s="6">
      <c r="A21" s="2" t="inlineStr">
        <is>
          <t>POS Mac Amazon.Com*Sb8 Seattle WA</t>
        </is>
      </c>
      <c r="B21" s="4">
        <f>18.75</f>
        <v/>
      </c>
      <c r="C21" s="2" t="n"/>
      <c r="D21" s="2" t="n"/>
      <c r="E21" s="4">
        <f>18.75</f>
        <v/>
      </c>
      <c r="F21" s="2" t="n"/>
      <c r="G21" s="2" t="n"/>
      <c r="H21" s="2" t="n"/>
      <c r="I21" s="2" t="n"/>
      <c r="J21" s="2" t="n"/>
      <c r="K21" s="2" t="n"/>
      <c r="L21" s="2" t="n"/>
      <c r="M21" s="2" t="n"/>
      <c r="N21" s="4">
        <f>SUM(B21,C21,D21,E21,F21,G21,H21,I21,J21,K21,L21,M21)</f>
        <v/>
      </c>
      <c r="O21" s="2" t="inlineStr">
        <is>
          <t>REVIEW</t>
        </is>
      </c>
    </row>
    <row r="22" s="6">
      <c r="A22" s="2" t="inlineStr">
        <is>
          <t>Nys Dtf Pit Tax Paymnt</t>
        </is>
      </c>
      <c r="B22" s="4">
        <f>200.00+200.00</f>
        <v/>
      </c>
      <c r="C22" s="2" t="n"/>
      <c r="D22" s="2" t="n"/>
      <c r="E22" s="4">
        <f>200.00+200.00</f>
        <v/>
      </c>
      <c r="F22" s="2" t="n"/>
      <c r="G22" s="2" t="n"/>
      <c r="H22" s="2" t="n"/>
      <c r="I22" s="2" t="n"/>
      <c r="J22" s="2" t="n"/>
      <c r="K22" s="2" t="n"/>
      <c r="L22" s="2" t="n"/>
      <c r="M22" s="2" t="n"/>
      <c r="N22" s="4">
        <f>SUM(B22,C22,D22,E22,F22,G22,H22,I22,J22,K22,L22,M22)</f>
        <v/>
      </c>
      <c r="O22" s="2" t="inlineStr">
        <is>
          <t>REVIEW</t>
        </is>
      </c>
    </row>
    <row r="23" s="6">
      <c r="A23" s="2" t="inlineStr">
        <is>
          <t>Kindercare Portland OR</t>
        </is>
      </c>
      <c r="B23" s="4">
        <f>490.00+120.00+55.00</f>
        <v/>
      </c>
      <c r="C23" s="2" t="n"/>
      <c r="D23" s="2" t="n"/>
      <c r="E23" s="4">
        <f>490.00+120.00+55.00</f>
        <v/>
      </c>
      <c r="F23" s="2" t="n"/>
      <c r="G23" s="2" t="n"/>
      <c r="H23" s="4">
        <f>55.00</f>
        <v/>
      </c>
      <c r="I23" s="4">
        <f>55.00</f>
        <v/>
      </c>
      <c r="J23" s="2" t="n"/>
      <c r="K23" s="2" t="n"/>
      <c r="L23" s="2" t="n"/>
      <c r="M23" s="2" t="n"/>
      <c r="N23" s="4">
        <f>SUM(B23,C23,D23,E23,F23,G23,H23,I23,J23,K23,L23,M23)</f>
        <v/>
      </c>
      <c r="O23" s="2" t="inlineStr">
        <is>
          <t>REVIEW</t>
        </is>
      </c>
    </row>
    <row r="24" s="6">
      <c r="A24" s="2" t="inlineStr">
        <is>
          <t>Amazon Prime*Zh8618Uz3 Amzn.Com/Bill WA</t>
        </is>
      </c>
      <c r="B24" s="4">
        <f>16.25</f>
        <v/>
      </c>
      <c r="C24" s="2" t="n"/>
      <c r="D24" s="2" t="n"/>
      <c r="E24" s="4">
        <f>16.25</f>
        <v/>
      </c>
      <c r="F24" s="2" t="n"/>
      <c r="G24" s="2" t="n"/>
      <c r="H24" s="2" t="n"/>
      <c r="I24" s="2" t="n"/>
      <c r="J24" s="2" t="n"/>
      <c r="K24" s="2" t="n"/>
      <c r="L24" s="2" t="n"/>
      <c r="M24" s="2" t="n"/>
      <c r="N24" s="4">
        <f>SUM(B24,C24,D24,E24,F24,G24,H24,I24,J24,K24,L24,M24)</f>
        <v/>
      </c>
      <c r="O24" s="2" t="inlineStr">
        <is>
          <t>REVIEW</t>
        </is>
      </c>
    </row>
    <row r="25" s="6">
      <c r="A25" s="2" t="inlineStr">
        <is>
          <t>Irs Usataxpymt</t>
        </is>
      </c>
      <c r="B25" s="4">
        <f>800.00+800.00</f>
        <v/>
      </c>
      <c r="C25" s="2" t="n"/>
      <c r="D25" s="2" t="n"/>
      <c r="E25" s="4">
        <f>800.00+800.00</f>
        <v/>
      </c>
      <c r="F25" s="2" t="n"/>
      <c r="G25" s="2" t="n"/>
      <c r="H25" s="2" t="n"/>
      <c r="I25" s="2" t="n"/>
      <c r="J25" s="2" t="n"/>
      <c r="K25" s="2" t="n"/>
      <c r="L25" s="2" t="n"/>
      <c r="M25" s="2" t="n"/>
      <c r="N25" s="4">
        <f>SUM(B25,C25,D25,E25,F25,G25,H25,I25,J25,K25,L25,M25)</f>
        <v/>
      </c>
      <c r="O25" s="2" t="inlineStr">
        <is>
          <t>REVIEW</t>
        </is>
      </c>
    </row>
    <row r="26" s="6">
      <c r="A26" s="2" t="inlineStr">
        <is>
          <t>Credit One Bank Payment</t>
        </is>
      </c>
      <c r="B26" s="4">
        <f>817.29</f>
        <v/>
      </c>
      <c r="C26" s="2" t="n"/>
      <c r="D26" s="2" t="n"/>
      <c r="E26" s="4">
        <f>817.29</f>
        <v/>
      </c>
      <c r="F26" s="2" t="n"/>
      <c r="G26" s="2" t="n"/>
      <c r="H26" s="2" t="n"/>
      <c r="I26" s="2" t="n"/>
      <c r="J26" s="2" t="n"/>
      <c r="K26" s="2" t="n"/>
      <c r="L26" s="2" t="n"/>
      <c r="M26" s="2" t="n"/>
      <c r="N26" s="4">
        <f>SUM(B26,C26,D26,E26,F26,G26,H26,I26,J26,K26,L26,M26)</f>
        <v/>
      </c>
      <c r="O26" s="2" t="inlineStr">
        <is>
          <t>REVIEW</t>
        </is>
      </c>
    </row>
    <row r="27" s="6">
      <c r="A27" s="2" t="inlineStr">
        <is>
          <t>Prog Casualty Ins Prem</t>
        </is>
      </c>
      <c r="B27" s="4">
        <f>930.52</f>
        <v/>
      </c>
      <c r="C27" s="2" t="n"/>
      <c r="D27" s="2" t="n"/>
      <c r="E27" s="4">
        <f>930.52</f>
        <v/>
      </c>
      <c r="F27" s="2" t="n"/>
      <c r="G27" s="2" t="n"/>
      <c r="H27" s="2" t="n"/>
      <c r="I27" s="2" t="n"/>
      <c r="J27" s="2" t="n"/>
      <c r="K27" s="2" t="n"/>
      <c r="L27" s="2" t="n"/>
      <c r="M27" s="2" t="n"/>
      <c r="N27" s="4">
        <f>SUM(B27,C27,D27,E27,F27,G27,H27,I27,J27,K27,L27,M27)</f>
        <v/>
      </c>
      <c r="O27" s="2" t="inlineStr">
        <is>
          <t>REVIEW</t>
        </is>
      </c>
    </row>
    <row r="28" s="6">
      <c r="A28" s="2" t="inlineStr">
        <is>
          <t>Citi Card Onlinepayment</t>
        </is>
      </c>
      <c r="B28" s="4">
        <f>975.00+364.75+1400.00</f>
        <v/>
      </c>
      <c r="C28" s="2" t="n"/>
      <c r="D28" s="2" t="n"/>
      <c r="E28" s="4">
        <f>975.00+364.75+1400.00</f>
        <v/>
      </c>
      <c r="F28" s="2" t="n"/>
      <c r="G28" s="2" t="n"/>
      <c r="H28" s="2" t="n"/>
      <c r="I28" s="2" t="n"/>
      <c r="J28" s="2" t="n"/>
      <c r="K28" s="2" t="n"/>
      <c r="L28" s="2" t="n"/>
      <c r="M28" s="2" t="n"/>
      <c r="N28" s="4">
        <f>SUM(B28,C28,D28,E28,F28,G28,H28,I28,J28,K28,L28,M28)</f>
        <v/>
      </c>
      <c r="O28" s="2" t="inlineStr">
        <is>
          <t>REVIEW</t>
        </is>
      </c>
    </row>
    <row r="29" s="6">
      <c r="A29" s="2" t="inlineStr">
        <is>
          <t>Amazon.Comseattlewa US</t>
        </is>
      </c>
      <c r="B29" s="4">
        <f>117.76</f>
        <v/>
      </c>
      <c r="C29" s="2" t="n"/>
      <c r="D29" s="2" t="n"/>
      <c r="E29" s="4">
        <f>117.76</f>
        <v/>
      </c>
      <c r="F29" s="2" t="n"/>
      <c r="G29" s="2" t="n"/>
      <c r="H29" s="2" t="n"/>
      <c r="I29" s="2" t="n"/>
      <c r="J29" s="2" t="n"/>
      <c r="K29" s="2" t="n"/>
      <c r="L29" s="2" t="n"/>
      <c r="M29" s="2" t="n"/>
      <c r="N29" s="4">
        <f>SUM(B29,C29,D29,E29,F29,G29,H29,I29,J29,K29,L29,M29)</f>
        <v/>
      </c>
      <c r="O29" s="2" t="inlineStr">
        <is>
          <t>REVIEW</t>
        </is>
      </c>
    </row>
    <row r="30" s="6">
      <c r="A30" s="2" t="inlineStr">
        <is>
          <t>POS Mac Amazon.Com*TN0 Seattle WA</t>
        </is>
      </c>
      <c r="B30" s="4">
        <f>50.03</f>
        <v/>
      </c>
      <c r="C30" s="2" t="n"/>
      <c r="D30" s="2" t="n"/>
      <c r="E30" s="4">
        <f>50.03</f>
        <v/>
      </c>
      <c r="F30" s="2" t="n"/>
      <c r="G30" s="2" t="n"/>
      <c r="H30" s="2" t="n"/>
      <c r="I30" s="2" t="n"/>
      <c r="J30" s="2" t="n"/>
      <c r="K30" s="2" t="n"/>
      <c r="L30" s="2" t="n"/>
      <c r="M30" s="2" t="n"/>
      <c r="N30" s="4">
        <f>SUM(B30,C30,D30,E30,F30,G30,H30,I30,J30,K30,L30,M30)</f>
        <v/>
      </c>
      <c r="O30" s="2" t="inlineStr">
        <is>
          <t>REVIEW</t>
        </is>
      </c>
    </row>
    <row r="31" s="6">
      <c r="A31" s="2" t="inlineStr">
        <is>
          <t>POS Mac Amazon.Com*Mz5 Seattle WA</t>
        </is>
      </c>
      <c r="B31" s="4">
        <f>71.79</f>
        <v/>
      </c>
      <c r="C31" s="2" t="n"/>
      <c r="D31" s="2" t="n"/>
      <c r="E31" s="4">
        <f>71.79</f>
        <v/>
      </c>
      <c r="F31" s="2" t="n"/>
      <c r="G31" s="2" t="n"/>
      <c r="H31" s="2" t="n"/>
      <c r="I31" s="2" t="n"/>
      <c r="J31" s="2" t="n"/>
      <c r="K31" s="2" t="n"/>
      <c r="L31" s="2" t="n"/>
      <c r="M31" s="2" t="n"/>
      <c r="N31" s="4">
        <f>SUM(B31,C31,D31,E31,F31,G31,H31,I31,J31,K31,L31,M31)</f>
        <v/>
      </c>
      <c r="O31" s="2" t="inlineStr">
        <is>
          <t>REVIEW</t>
        </is>
      </c>
    </row>
    <row r="32" s="6">
      <c r="A32" s="2" t="inlineStr">
        <is>
          <t>POS Mac Amazon.Com*Ge2 Seattle WA</t>
        </is>
      </c>
      <c r="B32" s="4">
        <f>152.14</f>
        <v/>
      </c>
      <c r="C32" s="2" t="n"/>
      <c r="D32" s="2" t="n"/>
      <c r="E32" s="4">
        <f>152.14</f>
        <v/>
      </c>
      <c r="F32" s="2" t="n"/>
      <c r="G32" s="2" t="n"/>
      <c r="H32" s="2" t="n"/>
      <c r="I32" s="2" t="n"/>
      <c r="J32" s="2" t="n"/>
      <c r="K32" s="2" t="n"/>
      <c r="L32" s="2" t="n"/>
      <c r="M32" s="2" t="n"/>
      <c r="N32" s="4">
        <f>SUM(B32,C32,D32,E32,F32,G32,H32,I32,J32,K32,L32,M32)</f>
        <v/>
      </c>
      <c r="O32" s="2" t="inlineStr">
        <is>
          <t>REVIEW</t>
        </is>
      </c>
    </row>
    <row r="33" s="6">
      <c r="A33" s="2" t="inlineStr">
        <is>
          <t>POS Mac Amazon.Com*V25 Seattle WA</t>
        </is>
      </c>
      <c r="B33" s="4">
        <f>20.80</f>
        <v/>
      </c>
      <c r="C33" s="2" t="n"/>
      <c r="D33" s="2" t="n"/>
      <c r="E33" s="4">
        <f>20.80</f>
        <v/>
      </c>
      <c r="F33" s="2" t="n"/>
      <c r="G33" s="2" t="n"/>
      <c r="H33" s="2" t="n"/>
      <c r="I33" s="2" t="n"/>
      <c r="J33" s="2" t="n"/>
      <c r="K33" s="2" t="n"/>
      <c r="L33" s="2" t="n"/>
      <c r="M33" s="2" t="n"/>
      <c r="N33" s="4">
        <f>SUM(B33,C33,D33,E33,F33,G33,H33,I33,J33,K33,L33,M33)</f>
        <v/>
      </c>
      <c r="O33" s="2" t="inlineStr">
        <is>
          <t>REVIEW</t>
        </is>
      </c>
    </row>
    <row r="34" s="6">
      <c r="A34" s="2" t="inlineStr">
        <is>
          <t>POS Mac Amazon.Com*Za2 Seattle WA</t>
        </is>
      </c>
      <c r="B34" s="4">
        <f>40.33</f>
        <v/>
      </c>
      <c r="C34" s="2" t="n"/>
      <c r="D34" s="2" t="n"/>
      <c r="E34" s="4">
        <f>40.33</f>
        <v/>
      </c>
      <c r="F34" s="2" t="n"/>
      <c r="G34" s="2" t="n"/>
      <c r="H34" s="2" t="n"/>
      <c r="I34" s="2" t="n"/>
      <c r="J34" s="2" t="n"/>
      <c r="K34" s="2" t="n"/>
      <c r="L34" s="2" t="n"/>
      <c r="M34" s="2" t="n"/>
      <c r="N34" s="4">
        <f>SUM(B34,C34,D34,E34,F34,G34,H34,I34,J34,K34,L34,M34)</f>
        <v/>
      </c>
      <c r="O34" s="2" t="inlineStr">
        <is>
          <t>REVIEW</t>
        </is>
      </c>
    </row>
    <row r="35" s="6">
      <c r="A35" s="2" t="inlineStr">
        <is>
          <t>POS Mac Amazon.Com*Au5 Seattle WA</t>
        </is>
      </c>
      <c r="B35" s="4">
        <f>343.93</f>
        <v/>
      </c>
      <c r="C35" s="2" t="n"/>
      <c r="D35" s="2" t="n"/>
      <c r="E35" s="4">
        <f>343.93</f>
        <v/>
      </c>
      <c r="F35" s="2" t="n"/>
      <c r="G35" s="2" t="n"/>
      <c r="H35" s="2" t="n"/>
      <c r="I35" s="2" t="n"/>
      <c r="J35" s="2" t="n"/>
      <c r="K35" s="2" t="n"/>
      <c r="L35" s="2" t="n"/>
      <c r="M35" s="2" t="n"/>
      <c r="N35" s="4">
        <f>SUM(B35,C35,D35,E35,F35,G35,H35,I35,J35,K35,L35,M35)</f>
        <v/>
      </c>
      <c r="O35" s="2" t="inlineStr">
        <is>
          <t>REVIEW</t>
        </is>
      </c>
    </row>
    <row r="36" s="6">
      <c r="A36" s="2" t="inlineStr">
        <is>
          <t>POS Mac Amazon.Com*Bq9 Seattle WA</t>
        </is>
      </c>
      <c r="B36" s="4">
        <f>17.59</f>
        <v/>
      </c>
      <c r="C36" s="2" t="n"/>
      <c r="D36" s="2" t="n"/>
      <c r="E36" s="4">
        <f>17.59</f>
        <v/>
      </c>
      <c r="F36" s="2" t="n"/>
      <c r="G36" s="2" t="n"/>
      <c r="H36" s="2" t="n"/>
      <c r="I36" s="2" t="n"/>
      <c r="J36" s="2" t="n"/>
      <c r="K36" s="2" t="n"/>
      <c r="L36" s="2" t="n"/>
      <c r="M36" s="2" t="n"/>
      <c r="N36" s="4">
        <f>SUM(B36,C36,D36,E36,F36,G36,H36,I36,J36,K36,L36,M36)</f>
        <v/>
      </c>
      <c r="O36" s="2" t="inlineStr">
        <is>
          <t>REVIEW</t>
        </is>
      </c>
    </row>
    <row r="37" s="6">
      <c r="A37" s="2" t="inlineStr">
        <is>
          <t>Bill Pay:New York State Ins 237224 4Bq1P6Kr</t>
        </is>
      </c>
      <c r="B37" s="4">
        <f>578.00</f>
        <v/>
      </c>
      <c r="C37" s="2" t="n"/>
      <c r="D37" s="2" t="n"/>
      <c r="E37" s="4">
        <f>578.00</f>
        <v/>
      </c>
      <c r="F37" s="2" t="n"/>
      <c r="G37" s="2" t="n"/>
      <c r="H37" s="4">
        <f>578.00</f>
        <v/>
      </c>
      <c r="I37" s="4">
        <f>578.00</f>
        <v/>
      </c>
      <c r="J37" s="2" t="n"/>
      <c r="K37" s="2" t="n"/>
      <c r="L37" s="2" t="n"/>
      <c r="M37" s="2" t="n"/>
      <c r="N37" s="4">
        <f>SUM(B37,C37,D37,E37,F37,G37,H37,I37,J37,K37,L37,M37)</f>
        <v/>
      </c>
      <c r="O37" s="2" t="inlineStr">
        <is>
          <t>REVIEW</t>
        </is>
      </c>
    </row>
    <row r="38" s="6">
      <c r="A38" s="2" t="inlineStr">
        <is>
          <t>Amazon.Com*N22Fjseattlewa US</t>
        </is>
      </c>
      <c r="B38" s="4">
        <f>109.43</f>
        <v/>
      </c>
      <c r="C38" s="2" t="n"/>
      <c r="D38" s="2" t="n"/>
      <c r="E38" s="4">
        <f>109.43</f>
        <v/>
      </c>
      <c r="F38" s="2" t="n"/>
      <c r="G38" s="2" t="n"/>
      <c r="H38" s="4">
        <f>109.43</f>
        <v/>
      </c>
      <c r="I38" s="4">
        <f>109.43</f>
        <v/>
      </c>
      <c r="J38" s="2" t="n"/>
      <c r="K38" s="2" t="n"/>
      <c r="L38" s="2" t="n"/>
      <c r="M38" s="2" t="n"/>
      <c r="N38" s="4">
        <f>SUM(B38,C38,D38,E38,F38,G38,H38,I38,J38,K38,L38,M38)</f>
        <v/>
      </c>
      <c r="O38" s="2" t="inlineStr">
        <is>
          <t>REVIEW</t>
        </is>
      </c>
    </row>
    <row r="39" s="6">
      <c r="A39" s="2" t="inlineStr">
        <is>
          <t>POS Mac Amazon.Com*Yr6 Seattle WA</t>
        </is>
      </c>
      <c r="B39" s="4">
        <f>13.79</f>
        <v/>
      </c>
      <c r="C39" s="2" t="n"/>
      <c r="D39" s="2" t="n"/>
      <c r="E39" s="4">
        <f>13.79</f>
        <v/>
      </c>
      <c r="F39" s="2" t="n"/>
      <c r="G39" s="2" t="n"/>
      <c r="H39" s="4">
        <f>13.79</f>
        <v/>
      </c>
      <c r="I39" s="4">
        <f>13.79</f>
        <v/>
      </c>
      <c r="J39" s="2" t="n"/>
      <c r="K39" s="2" t="n"/>
      <c r="L39" s="2" t="n"/>
      <c r="M39" s="2" t="n"/>
      <c r="N39" s="4">
        <f>SUM(B39,C39,D39,E39,F39,G39,H39,I39,J39,K39,L39,M39)</f>
        <v/>
      </c>
      <c r="O39" s="2" t="inlineStr">
        <is>
          <t>REVIEW</t>
        </is>
      </c>
    </row>
    <row r="40" s="6">
      <c r="A40" s="2" t="inlineStr">
        <is>
          <t>Arrow Bank Na Web Pmt</t>
        </is>
      </c>
      <c r="B40" s="4">
        <f>703.00</f>
        <v/>
      </c>
      <c r="C40" s="2" t="n"/>
      <c r="D40" s="2" t="n"/>
      <c r="E40" s="4">
        <f>703.00</f>
        <v/>
      </c>
      <c r="F40" s="2" t="n"/>
      <c r="G40" s="2" t="n"/>
      <c r="H40" s="4">
        <f>703.00</f>
        <v/>
      </c>
      <c r="I40" s="4">
        <f>703.00</f>
        <v/>
      </c>
      <c r="J40" s="2" t="n"/>
      <c r="K40" s="2" t="n"/>
      <c r="L40" s="2" t="n"/>
      <c r="M40" s="2" t="n"/>
      <c r="N40" s="4">
        <f>SUM(B40,C40,D40,E40,F40,G40,H40,I40,J40,K40,L40,M40)</f>
        <v/>
      </c>
      <c r="O40" s="2" t="inlineStr">
        <is>
          <t>REVIEW</t>
        </is>
      </c>
    </row>
    <row r="41" s="6">
      <c r="A41" s="2" t="inlineStr">
        <is>
          <t>Huntington Banksil Payment</t>
        </is>
      </c>
      <c r="B41" s="4">
        <f>900.00</f>
        <v/>
      </c>
      <c r="C41" s="2" t="n"/>
      <c r="D41" s="2" t="n"/>
      <c r="E41" s="4">
        <f>900.00</f>
        <v/>
      </c>
      <c r="F41" s="2" t="n"/>
      <c r="G41" s="2" t="n"/>
      <c r="H41" s="4">
        <f>900.00</f>
        <v/>
      </c>
      <c r="I41" s="4">
        <f>900.00</f>
        <v/>
      </c>
      <c r="J41" s="2" t="n"/>
      <c r="K41" s="2" t="n"/>
      <c r="L41" s="2" t="n"/>
      <c r="M41" s="2" t="n"/>
      <c r="N41" s="4">
        <f>SUM(B41,C41,D41,E41,F41,G41,H41,I41,J41,K41,L41,M41)</f>
        <v/>
      </c>
      <c r="O41" s="2" t="inlineStr">
        <is>
          <t>REVIEW</t>
        </is>
      </c>
    </row>
    <row r="42" s="6">
      <c r="A42" s="2" t="inlineStr">
        <is>
          <t>Amex Epayment ACH Pmt</t>
        </is>
      </c>
      <c r="B42" s="4">
        <f>1000.00</f>
        <v/>
      </c>
      <c r="C42" s="2" t="n"/>
      <c r="D42" s="2" t="n"/>
      <c r="E42" s="4">
        <f>1000.00</f>
        <v/>
      </c>
      <c r="F42" s="2" t="n"/>
      <c r="G42" s="2" t="n"/>
      <c r="H42" s="4">
        <f>1000.00</f>
        <v/>
      </c>
      <c r="I42" s="4">
        <f>1000.00</f>
        <v/>
      </c>
      <c r="J42" s="2" t="n"/>
      <c r="K42" s="2" t="n"/>
      <c r="L42" s="2" t="n"/>
      <c r="M42" s="2" t="n"/>
      <c r="N42" s="4">
        <f>SUM(B42,C42,D42,E42,F42,G42,H42,I42,J42,K42,L42,M42)</f>
        <v/>
      </c>
      <c r="O42" s="2" t="inlineStr">
        <is>
          <t>REVIEW</t>
        </is>
      </c>
    </row>
    <row r="43" s="6">
      <c r="A43" s="2" t="inlineStr">
        <is>
          <t>Bill Pay:Veolia Water New Y 200054 Hbu1T6Kr</t>
        </is>
      </c>
      <c r="B43" s="4">
        <f>300.00</f>
        <v/>
      </c>
      <c r="C43" s="2" t="n"/>
      <c r="D43" s="2" t="n"/>
      <c r="E43" s="4">
        <f>300.00</f>
        <v/>
      </c>
      <c r="F43" s="2" t="n"/>
      <c r="G43" s="2" t="n"/>
      <c r="H43" s="4">
        <f>300.00</f>
        <v/>
      </c>
      <c r="I43" s="4">
        <f>300.00</f>
        <v/>
      </c>
      <c r="J43" s="2" t="n"/>
      <c r="K43" s="2" t="n"/>
      <c r="L43" s="2" t="n"/>
      <c r="M43" s="2" t="n"/>
      <c r="N43" s="4">
        <f>SUM(B43,C43,D43,E43,F43,G43,H43,I43,J43,K43,L43,M43)</f>
        <v/>
      </c>
      <c r="O43" s="2" t="inlineStr">
        <is>
          <t>REVIEW</t>
        </is>
      </c>
    </row>
    <row r="44" s="6">
      <c r="A44" s="2" t="inlineStr">
        <is>
          <t>Bill Pay:Associated Mutual 210061 Ubq1P6Kr</t>
        </is>
      </c>
      <c r="B44" s="4">
        <f>723.00</f>
        <v/>
      </c>
      <c r="C44" s="2" t="n"/>
      <c r="D44" s="2" t="n"/>
      <c r="E44" s="4">
        <f>723.00</f>
        <v/>
      </c>
      <c r="F44" s="2" t="n"/>
      <c r="G44" s="2" t="n"/>
      <c r="H44" s="4">
        <f>723.00</f>
        <v/>
      </c>
      <c r="I44" s="4">
        <f>723.00</f>
        <v/>
      </c>
      <c r="J44" s="2" t="n"/>
      <c r="K44" s="2" t="n"/>
      <c r="L44" s="2" t="n"/>
      <c r="M44" s="2" t="n"/>
      <c r="N44" s="4">
        <f>SUM(B44,C44,D44,E44,F44,G44,H44,I44,J44,K44,L44,M44)</f>
        <v/>
      </c>
      <c r="O44" s="2" t="inlineStr">
        <is>
          <t>REVIEW</t>
        </is>
      </c>
    </row>
    <row r="45" s="6">
      <c r="A45" s="2" t="inlineStr">
        <is>
          <t>Bill Pay:Orange &amp; Rockland 879293 5Bq1P6Kr</t>
        </is>
      </c>
      <c r="B45" s="4">
        <f>2400.00</f>
        <v/>
      </c>
      <c r="C45" s="2" t="n"/>
      <c r="D45" s="2" t="n"/>
      <c r="E45" s="4">
        <f>2400.00</f>
        <v/>
      </c>
      <c r="F45" s="2" t="n"/>
      <c r="G45" s="2" t="n"/>
      <c r="H45" s="4">
        <f>2400.00</f>
        <v/>
      </c>
      <c r="I45" s="4">
        <f>2400.00</f>
        <v/>
      </c>
      <c r="J45" s="2" t="n"/>
      <c r="K45" s="2" t="n"/>
      <c r="L45" s="2" t="n"/>
      <c r="M45" s="2" t="n"/>
      <c r="N45" s="4">
        <f>SUM(B45,C45,D45,E45,F45,G45,H45,I45,J45,K45,L45,M45)</f>
        <v/>
      </c>
      <c r="O45" s="2" t="inlineStr">
        <is>
          <t>REVIEW</t>
        </is>
      </c>
    </row>
    <row r="46" s="6">
      <c r="A46" s="2" t="inlineStr">
        <is>
          <t>Paypal Inst Xfer</t>
        </is>
      </c>
      <c r="B46" s="4">
        <f>220.00</f>
        <v/>
      </c>
      <c r="C46" s="2" t="n"/>
      <c r="D46" s="2" t="n"/>
      <c r="E46" s="4">
        <f>220.00</f>
        <v/>
      </c>
      <c r="F46" s="2" t="n"/>
      <c r="G46" s="2" t="n"/>
      <c r="H46" s="4">
        <f>220.00</f>
        <v/>
      </c>
      <c r="I46" s="4">
        <f>220.00</f>
        <v/>
      </c>
      <c r="J46" s="2" t="n"/>
      <c r="K46" s="2" t="n"/>
      <c r="L46" s="2" t="n"/>
      <c r="M46" s="2" t="n"/>
      <c r="N46" s="4">
        <f>SUM(B46,C46,D46,E46,F46,G46,H46,I46,J46,K46,L46,M46)</f>
        <v/>
      </c>
      <c r="O46" s="2" t="inlineStr">
        <is>
          <t>REVIEW</t>
        </is>
      </c>
    </row>
    <row r="47" s="6">
      <c r="A47" s="2" t="inlineStr">
        <is>
          <t>Discover Bank Net/Mobile</t>
        </is>
      </c>
      <c r="B47" s="4">
        <f>833.81</f>
        <v/>
      </c>
      <c r="C47" s="2" t="n"/>
      <c r="D47" s="2" t="n"/>
      <c r="E47" s="4">
        <f>833.81</f>
        <v/>
      </c>
      <c r="F47" s="2" t="n"/>
      <c r="G47" s="2" t="n"/>
      <c r="H47" s="4">
        <f>833.81</f>
        <v/>
      </c>
      <c r="I47" s="4">
        <f>833.81</f>
        <v/>
      </c>
      <c r="J47" s="2" t="n"/>
      <c r="K47" s="2" t="n"/>
      <c r="L47" s="2" t="n"/>
      <c r="M47" s="2" t="n"/>
      <c r="N47" s="4">
        <f>SUM(B47,C47,D47,E47,F47,G47,H47,I47,J47,K47,L47,M47)</f>
        <v/>
      </c>
      <c r="O47" s="2" t="inlineStr">
        <is>
          <t>REVIEW</t>
        </is>
      </c>
    </row>
    <row r="48" s="6">
      <c r="A48" s="2" t="inlineStr">
        <is>
          <t>87541423 Nylevy / 1-518-457-5434 / Nys Commission</t>
        </is>
      </c>
      <c r="B48" s="4">
        <f>4589.17</f>
        <v/>
      </c>
      <c r="C48" s="2" t="n"/>
      <c r="D48" s="2" t="n"/>
      <c r="E48" s="4">
        <f>4589.17</f>
        <v/>
      </c>
      <c r="F48" s="2" t="n"/>
      <c r="G48" s="2" t="n"/>
      <c r="H48" s="4">
        <f>4589.17</f>
        <v/>
      </c>
      <c r="I48" s="4">
        <f>4589.17</f>
        <v/>
      </c>
      <c r="J48" s="2" t="n"/>
      <c r="K48" s="2" t="n"/>
      <c r="L48" s="2" t="n"/>
      <c r="M48" s="2" t="n"/>
      <c r="N48" s="4">
        <f>SUM(B48,C48,D48,E48,F48,G48,H48,I48,J48,K48,L48,M48)</f>
        <v/>
      </c>
      <c r="O48" s="2" t="inlineStr">
        <is>
          <t>REVIEW</t>
        </is>
      </c>
    </row>
    <row r="49">
      <c r="A49" s="2" t="inlineStr">
        <is>
          <t>Total</t>
        </is>
      </c>
      <c r="B49" s="4">
        <f>SUM(B2:B48)</f>
        <v/>
      </c>
      <c r="C49" s="4">
        <f>SUM(C2:C48)</f>
        <v/>
      </c>
      <c r="D49" s="4">
        <f>SUM(D2:D48)</f>
        <v/>
      </c>
      <c r="E49" s="4">
        <f>SUM(E2:E48)</f>
        <v/>
      </c>
      <c r="F49" s="4">
        <f>SUM(F2:F48)</f>
        <v/>
      </c>
      <c r="G49" s="4">
        <f>SUM(G2:G48)</f>
        <v/>
      </c>
      <c r="H49" s="4">
        <f>SUM(H2:H48)</f>
        <v/>
      </c>
      <c r="I49" s="4">
        <f>SUM(I2:I48)</f>
        <v/>
      </c>
      <c r="J49" s="4">
        <f>SUM(J2:J48)</f>
        <v/>
      </c>
      <c r="K49" s="4">
        <f>SUM(K2:K48)</f>
        <v/>
      </c>
      <c r="L49" s="4">
        <f>SUM(L2:L48)</f>
        <v/>
      </c>
      <c r="M49" s="4">
        <f>SUM(M2:M48)</f>
        <v/>
      </c>
      <c r="N49" s="4">
        <f>SUM(B49,C49,D49,E49,F49,G49,H49,I49,J49,K49,L49,M49)</f>
        <v/>
      </c>
      <c r="O49" s="2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N17" sqref="N17"/>
    </sheetView>
  </sheetViews>
  <sheetFormatPr baseColWidth="8" defaultRowHeight="15"/>
  <cols>
    <col width="12.28515625" bestFit="1" customWidth="1" style="6" min="1" max="1"/>
    <col width="7.140625" bestFit="1" customWidth="1" style="6" min="2" max="2"/>
    <col width="7.85546875" bestFit="1" customWidth="1" style="6" min="3" max="3"/>
    <col width="6.85546875" bestFit="1" customWidth="1" style="6" min="4" max="4"/>
    <col width="6.28515625" bestFit="1" customWidth="1" style="6" min="5" max="5"/>
    <col width="7.28515625" bestFit="1" customWidth="1" style="6" min="6" max="6"/>
    <col width="7.140625" bestFit="1" customWidth="1" style="6" min="7" max="7"/>
    <col width="7" bestFit="1" customWidth="1" style="6" min="8" max="8"/>
    <col width="7.42578125" bestFit="1" customWidth="1" style="6" min="9" max="9"/>
    <col width="7.28515625" bestFit="1" customWidth="1" style="6" min="10" max="10"/>
    <col width="6.85546875" bestFit="1" customWidth="1" style="6" min="11" max="11"/>
    <col width="7.140625" bestFit="1" customWidth="1" style="6" min="12" max="12"/>
    <col width="7.5703125" bestFit="1" customWidth="1" style="6" min="13" max="13"/>
    <col width="6.85546875" bestFit="1" customWidth="1" style="6" min="14" max="14"/>
    <col width="10.5703125" bestFit="1" customWidth="1" style="6" min="15" max="15"/>
  </cols>
  <sheetData>
    <row r="1">
      <c r="A1" s="2">
        <f>'Chase #156'!A1</f>
        <v/>
      </c>
      <c r="B1" s="3">
        <f>'Chase #156'!A3</f>
        <v/>
      </c>
      <c r="C1" s="3">
        <f>'Chase #156'!A4</f>
        <v/>
      </c>
      <c r="D1" s="3">
        <f>'Chase #156'!A5</f>
        <v/>
      </c>
      <c r="E1" s="3">
        <f>'Chase #156'!A6</f>
        <v/>
      </c>
      <c r="F1" s="3">
        <f>'Chase #156'!A7</f>
        <v/>
      </c>
      <c r="G1" s="3">
        <f>'Chase #156'!A8</f>
        <v/>
      </c>
      <c r="H1" s="3">
        <f>'Chase #156'!A9</f>
        <v/>
      </c>
      <c r="I1" s="3">
        <f>'Chase #156'!A10</f>
        <v/>
      </c>
      <c r="J1" s="3">
        <f>'Chase #156'!A11</f>
        <v/>
      </c>
      <c r="K1" s="3">
        <f>'Chase #156'!A12</f>
        <v/>
      </c>
      <c r="L1" s="3">
        <f>'Chase #156'!A13</f>
        <v/>
      </c>
      <c r="M1" s="3">
        <f>'Chase #156'!A14</f>
        <v/>
      </c>
      <c r="N1" s="3" t="inlineStr">
        <is>
          <t>TOTAL</t>
        </is>
      </c>
      <c r="O1" s="3" t="inlineStr">
        <is>
          <t>CATEGORY</t>
        </is>
      </c>
      <c r="P1" s="5" t="n">
        <v>46113</v>
      </c>
    </row>
    <row r="2">
      <c r="A2" s="2" t="inlineStr">
        <is>
          <t>AMAOZN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4">
        <f>SUM(B2,C2,D2,E2,F2,G2,H2,I2,J2,K2,L2,M2)</f>
        <v/>
      </c>
      <c r="O2" s="2" t="inlineStr">
        <is>
          <t>SUPPLY</t>
        </is>
      </c>
      <c r="P2" t="n">
        <v>42</v>
      </c>
    </row>
    <row r="3">
      <c r="A3" s="2" t="inlineStr">
        <is>
          <t>TAREGE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4">
        <f>SUM(B3,C3,D3,E3,F3,G3,H3,I3,J3,K3,L3,M3)</f>
        <v/>
      </c>
      <c r="O3" s="2" t="inlineStr">
        <is>
          <t>GASOLINE</t>
        </is>
      </c>
      <c r="P3" t="n">
        <v>4</v>
      </c>
    </row>
    <row r="4">
      <c r="A4" s="2" t="inlineStr">
        <is>
          <t>CUBE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4">
        <f>SUM(B4,C4,D4,E4,F4,G4,H4,I4,J4,K4,L4,M4)</f>
        <v/>
      </c>
      <c r="O4" s="2" t="inlineStr">
        <is>
          <t>SUPRER</t>
        </is>
      </c>
      <c r="P4" t="n">
        <v>234</v>
      </c>
    </row>
    <row r="5">
      <c r="A5" s="2" t="inlineStr">
        <is>
          <t>AGASD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4">
        <f>SUM(B5,C5,D5,E5,F5,G5,H5,I5,J5,K5,L5,M5)</f>
        <v/>
      </c>
      <c r="O5" s="2" t="inlineStr">
        <is>
          <t>SUPPLY</t>
        </is>
      </c>
      <c r="P5" t="n">
        <v>234</v>
      </c>
    </row>
    <row r="6">
      <c r="A6" s="2" t="inlineStr">
        <is>
          <t>AMAOZN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4">
        <f>SUM(B6,C6,D6,E6,F6,G6,H6,I6,J6,K6,L6,M6)</f>
        <v/>
      </c>
      <c r="O6" s="2" t="inlineStr">
        <is>
          <t>GASOLINE</t>
        </is>
      </c>
      <c r="P6" t="n">
        <v>14</v>
      </c>
    </row>
    <row r="7">
      <c r="A7" s="2" t="inlineStr">
        <is>
          <t>TAREGE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4">
        <f>SUM(B7,C7,D7,E7,F7,G7,H7,I7,J7,K7,L7,M7)</f>
        <v/>
      </c>
      <c r="O7" s="2" t="inlineStr">
        <is>
          <t>SUPRER</t>
        </is>
      </c>
      <c r="P7" t="n">
        <v>1</v>
      </c>
    </row>
    <row r="8">
      <c r="A8" s="2" t="inlineStr">
        <is>
          <t>CUBE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4">
        <f>SUM(B8,C8,D8,E8,F8,G8,H8,I8,J8,K8,L8,M8)</f>
        <v/>
      </c>
      <c r="O8" s="2" t="inlineStr">
        <is>
          <t>SUPPLY</t>
        </is>
      </c>
      <c r="P8" t="n">
        <v>413</v>
      </c>
    </row>
    <row r="9">
      <c r="A9" s="2" t="inlineStr">
        <is>
          <t>AGASD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4">
        <f>SUM(B9,C9,D9,E9,F9,G9,H9,I9,J9,K9,L9,M9)</f>
        <v/>
      </c>
      <c r="O9" s="2" t="inlineStr">
        <is>
          <t>GASOLINE</t>
        </is>
      </c>
      <c r="P9" t="n">
        <v>4213</v>
      </c>
    </row>
    <row r="10">
      <c r="A10" s="2" t="inlineStr">
        <is>
          <t>AMAOZN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4">
        <f>SUM(B10,C10,D10,E10,F10,G10,H10,I10,J10,K10,L10,M10)</f>
        <v/>
      </c>
      <c r="O10" s="2" t="inlineStr">
        <is>
          <t>SUPRER</t>
        </is>
      </c>
      <c r="P10" t="n">
        <v>4523</v>
      </c>
    </row>
    <row r="11">
      <c r="A11" s="2" t="inlineStr">
        <is>
          <t>TAREGE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4">
        <f>SUM(B11,C11,D11,E11,F11,G11,H11,I11,J11,K11,L11,M11)</f>
        <v/>
      </c>
      <c r="O11" s="2" t="inlineStr">
        <is>
          <t>SUPPLY</t>
        </is>
      </c>
      <c r="P11" t="n">
        <v>532</v>
      </c>
    </row>
    <row r="12">
      <c r="A12" s="2" t="inlineStr">
        <is>
          <t>CUBE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4">
        <f>SUM(B12,C12,D12,E12,F12,G12,H12,I12,J12,K12,L12,M12)</f>
        <v/>
      </c>
      <c r="O12" s="2" t="inlineStr">
        <is>
          <t>GASOLINE</t>
        </is>
      </c>
      <c r="P12" t="n">
        <v>41</v>
      </c>
    </row>
    <row r="13">
      <c r="A13" s="2" t="inlineStr">
        <is>
          <t>AGASD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4">
        <f>SUM(B13,C13,D13,E13,F13,G13,H13,I13,J13,K13,L13,M13)</f>
        <v/>
      </c>
      <c r="O13" s="2" t="inlineStr">
        <is>
          <t>SUPRER</t>
        </is>
      </c>
      <c r="P13" t="n">
        <v>4214</v>
      </c>
    </row>
    <row r="14">
      <c r="A14" s="2" t="inlineStr">
        <is>
          <t>TOTAL</t>
        </is>
      </c>
      <c r="B14" s="4">
        <f>SUM(B2:B13)</f>
        <v/>
      </c>
      <c r="C14" s="4">
        <f>SUM(C2:C13)</f>
        <v/>
      </c>
      <c r="D14" s="4">
        <f>SUM(D2:D13)</f>
        <v/>
      </c>
      <c r="E14" s="4">
        <f>SUM(E2:E13)</f>
        <v/>
      </c>
      <c r="F14" s="4">
        <f>SUM(F2:F13)</f>
        <v/>
      </c>
      <c r="G14" s="4">
        <f>SUM(G2:G13)</f>
        <v/>
      </c>
      <c r="H14" s="4">
        <f>SUM(H2:H13)</f>
        <v/>
      </c>
      <c r="I14" s="4">
        <f>SUM(I2:I13)</f>
        <v/>
      </c>
      <c r="J14" s="4">
        <f>SUM(J2:J13)</f>
        <v/>
      </c>
      <c r="K14" s="4">
        <f>SUM(K2:K13)</f>
        <v/>
      </c>
      <c r="L14" s="4">
        <f>SUM(L2:L13)</f>
        <v/>
      </c>
      <c r="M14" s="4">
        <f>SUM(M2:M13)</f>
        <v/>
      </c>
      <c r="N14" s="4">
        <f>SUM(B14,C14,D14,E14,F14,G14,H14,I14,J14,K14,L14,M14)</f>
        <v/>
      </c>
      <c r="O14" s="2" t="n"/>
      <c r="P14" s="2">
        <f>SUM(P2:P13)</f>
        <v/>
      </c>
    </row>
    <row r="15"/>
    <row r="16">
      <c r="A16" t="inlineStr">
        <is>
          <t>BEGIN</t>
        </is>
      </c>
    </row>
    <row r="17">
      <c r="A17" t="inlineStr">
        <is>
          <t>ADD</t>
        </is>
      </c>
      <c r="B17">
        <f>B14</f>
        <v/>
      </c>
      <c r="C17">
        <f>C14</f>
        <v/>
      </c>
      <c r="D17">
        <f>D14</f>
        <v/>
      </c>
      <c r="E17">
        <f>E14</f>
        <v/>
      </c>
      <c r="F17">
        <f>F14</f>
        <v/>
      </c>
      <c r="G17">
        <f>G14</f>
        <v/>
      </c>
      <c r="H17">
        <f>H14</f>
        <v/>
      </c>
      <c r="I17">
        <f>I14</f>
        <v/>
      </c>
      <c r="J17">
        <f>J14</f>
        <v/>
      </c>
      <c r="K17">
        <f>K14</f>
        <v/>
      </c>
      <c r="L17">
        <f>L14</f>
        <v/>
      </c>
      <c r="M17">
        <f>M14</f>
        <v/>
      </c>
    </row>
    <row r="18">
      <c r="A18" t="inlineStr">
        <is>
          <t>LESS</t>
        </is>
      </c>
    </row>
    <row r="19">
      <c r="A19" t="inlineStr">
        <is>
          <t>END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2026-08-18T02:54:05Z</dcterms:created>
  <dcterms:modified xsi:type="dcterms:W3CDTF">2026-08-25T04:50:54Z</dcterms:modified>
</cp:coreProperties>
</file>