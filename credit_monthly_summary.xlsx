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0" windowHeight="0" tabRatio="600" firstSheet="1" activeTab="3" autoFilterDateGrouping="1"/>
  </bookViews>
  <sheets>
    <sheet name="CHASE #3444" sheetId="1" state="visible" r:id="rId1"/>
    <sheet name="CHASE DETIAL#3444" sheetId="2" state="visible" r:id="rId2"/>
    <sheet name="AMEX #5533" sheetId="3" state="visible" r:id="rId3"/>
    <sheet name="CHASE CC#5235" sheetId="4" state="visible" r:id="rId4"/>
    <sheet name="Sheet3" sheetId="5" state="visible" r:id="rId5"/>
  </sheets>
  <definedNames>
    <definedName name="_xlnm._FilterDatabase" localSheetId="0" hidden="1">'CHASE #3444'!$A$2:$S$15</definedName>
    <definedName name="_xlnm._FilterDatabase" localSheetId="1" hidden="1">'CHASE DETIAL#3444'!$A$1:$O$41</definedName>
  </definedNames>
  <calcPr calcId="191028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name val="Calibri"/>
      <b val="1"/>
      <sz val="11"/>
    </font>
  </fonts>
  <fills count="2">
    <fill>
      <patternFill/>
    </fill>
    <fill>
      <patternFill patternType="gray125"/>
    </fill>
  </fills>
  <borders count="7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0" fillId="0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2" fontId="0" fillId="0" borderId="1" applyAlignment="1" pivotButton="0" quotePrefix="0" xfId="0">
      <alignment horizontal="center" vertical="center"/>
    </xf>
    <xf numFmtId="0" fontId="1" fillId="0" borderId="2" applyAlignment="1" pivotButton="0" quotePrefix="0" xfId="0">
      <alignment horizontal="center" vertical="center"/>
    </xf>
    <xf numFmtId="0" fontId="1" fillId="0" borderId="3" applyAlignment="1" pivotButton="0" quotePrefix="0" xfId="0">
      <alignment horizontal="center" vertical="center"/>
    </xf>
    <xf numFmtId="0" fontId="1" fillId="0" borderId="4" applyAlignment="1" pivotButton="0" quotePrefix="0" xfId="0">
      <alignment horizontal="center" vertical="center"/>
    </xf>
    <xf numFmtId="0" fontId="0" fillId="0" borderId="3" pivotButton="0" quotePrefix="0" xfId="0"/>
    <xf numFmtId="0" fontId="0" fillId="0" borderId="4" pivotButton="0" quotePrefix="0" xfId="0"/>
    <xf numFmtId="2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S15"/>
  <sheetViews>
    <sheetView workbookViewId="0">
      <selection activeCell="A1" sqref="A1:S1"/>
    </sheetView>
  </sheetViews>
  <sheetFormatPr baseColWidth="8" defaultRowHeight="15"/>
  <cols>
    <col width="16" customWidth="1" min="1" max="1"/>
    <col width="22" customWidth="1" min="2" max="19"/>
  </cols>
  <sheetData>
    <row r="1" ht="24" customHeight="1">
      <c r="A1" s="2" t="inlineStr">
        <is>
          <t>CHASE #3444</t>
        </is>
      </c>
      <c r="B1" s="7" t="n"/>
      <c r="C1" s="7" t="n"/>
      <c r="D1" s="7" t="n"/>
      <c r="E1" s="7" t="n"/>
      <c r="F1" s="7" t="n"/>
      <c r="G1" s="7" t="n"/>
      <c r="H1" s="7" t="n"/>
      <c r="I1" s="7" t="n"/>
      <c r="J1" s="7" t="n"/>
      <c r="K1" s="7" t="n"/>
      <c r="L1" s="7" t="n"/>
      <c r="M1" s="7" t="n"/>
      <c r="N1" s="7" t="n"/>
      <c r="O1" s="7" t="n"/>
      <c r="P1" s="7" t="n"/>
      <c r="Q1" s="7" t="n"/>
      <c r="R1" s="7" t="n"/>
      <c r="S1" s="8" t="n"/>
    </row>
    <row r="2" ht="24" customHeight="1">
      <c r="A2" s="2" t="n"/>
      <c r="B2" s="2" t="inlineStr">
        <is>
          <t>BEGIN BALANCE</t>
        </is>
      </c>
      <c r="C2" s="2" t="inlineStr">
        <is>
          <t>CASH / CHECK DEPOSIT</t>
        </is>
      </c>
      <c r="D2" s="2" t="inlineStr">
        <is>
          <t>NO1 SUSHI 88 CORKBBO ACH</t>
        </is>
      </c>
      <c r="E2" s="2" t="inlineStr">
        <is>
          <t>VEOLIA WATER</t>
        </is>
      </c>
      <c r="F2" s="2" t="inlineStr">
        <is>
          <t>ORANGE &amp; ROCKLAND</t>
        </is>
      </c>
      <c r="G2" s="2" t="inlineStr">
        <is>
          <t>WITHDRAWAL BRANCH 0964</t>
        </is>
      </c>
      <c r="H2" s="2" t="inlineStr">
        <is>
          <t>AMAZON</t>
        </is>
      </c>
      <c r="I2" s="2" t="inlineStr">
        <is>
          <t>BILL PAY:VEOLIA WATER NEW Y 200045 6BU1T6KR</t>
        </is>
      </c>
      <c r="J2" s="2" t="inlineStr">
        <is>
          <t>BILL PAY:ORANGE &amp; ROCKLAND 136130 6BQ1P6KR</t>
        </is>
      </c>
      <c r="K2" s="2" t="inlineStr">
        <is>
          <t>INTERNET TRF TO CLIENT-ADDED TRANSFER ACCOUNT</t>
        </is>
      </c>
      <c r="L2" s="2" t="inlineStr">
        <is>
          <t>WITHDRAWAL BRANCH 0964 NEW YORK</t>
        </is>
      </c>
      <c r="M2" s="2" t="inlineStr">
        <is>
          <t>POS MAC AMAZON.COM*NX6 SEATTLE WA</t>
        </is>
      </c>
      <c r="N2" s="2" t="inlineStr">
        <is>
          <t>POS MAC AMAZON.COM*9O5 SEATTLE WA</t>
        </is>
      </c>
      <c r="O2" s="2" t="inlineStr">
        <is>
          <t>POS MAC AMAZON.COM*SB8 SEATTLE WA</t>
        </is>
      </c>
      <c r="P2" s="2" t="inlineStr">
        <is>
          <t>NYS DTF PIT TAX PAYMNT</t>
        </is>
      </c>
      <c r="Q2" s="2" t="inlineStr">
        <is>
          <t>TOTAL CREDIT</t>
        </is>
      </c>
      <c r="R2" s="2" t="inlineStr">
        <is>
          <t>DEBIT</t>
        </is>
      </c>
      <c r="S2" s="2" t="inlineStr">
        <is>
          <t>ENDING BALANCE</t>
        </is>
      </c>
    </row>
    <row r="3">
      <c r="A3" s="1" t="inlineStr">
        <is>
          <t>AUG</t>
        </is>
      </c>
      <c r="B3" s="3" t="n">
        <v>0</v>
      </c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3" t="n"/>
      <c r="P3" s="3" t="n"/>
      <c r="Q3" s="3">
        <f>SUM(C3:P3)</f>
        <v/>
      </c>
      <c r="R3" s="3" t="n"/>
      <c r="S3" s="3">
        <f>B3+Q3-R3</f>
        <v/>
      </c>
    </row>
    <row r="4">
      <c r="A4" s="1" t="inlineStr">
        <is>
          <t>SEP</t>
        </is>
      </c>
      <c r="B4" s="3">
        <f>S3</f>
        <v/>
      </c>
      <c r="C4" s="3" t="n"/>
      <c r="D4" s="3" t="n"/>
      <c r="E4" s="3" t="n"/>
      <c r="F4" s="3" t="n"/>
      <c r="G4" s="3" t="n"/>
      <c r="H4" s="3" t="n"/>
      <c r="I4" s="3" t="n"/>
      <c r="J4" s="3" t="n"/>
      <c r="K4" s="3" t="n"/>
      <c r="L4" s="3" t="n"/>
      <c r="M4" s="3" t="n"/>
      <c r="N4" s="3" t="n"/>
      <c r="O4" s="3" t="n"/>
      <c r="P4" s="3" t="n"/>
      <c r="Q4" s="3">
        <f>SUM(C4:P4)</f>
        <v/>
      </c>
      <c r="R4" s="3" t="n"/>
      <c r="S4" s="3">
        <f>B4+Q4-R4</f>
        <v/>
      </c>
    </row>
    <row r="5">
      <c r="A5" s="1" t="inlineStr">
        <is>
          <t>OCT</t>
        </is>
      </c>
      <c r="B5" s="3">
        <f>S4</f>
        <v/>
      </c>
      <c r="C5" s="3" t="n"/>
      <c r="D5" s="3" t="n"/>
      <c r="E5" s="3" t="n"/>
      <c r="F5" s="3" t="n"/>
      <c r="G5" s="3" t="n"/>
      <c r="H5" s="3" t="n"/>
      <c r="I5" s="3" t="n"/>
      <c r="J5" s="3" t="n"/>
      <c r="K5" s="3" t="n"/>
      <c r="L5" s="3" t="n"/>
      <c r="M5" s="3" t="n"/>
      <c r="N5" s="3" t="n"/>
      <c r="O5" s="3" t="n"/>
      <c r="P5" s="3" t="n"/>
      <c r="Q5" s="3">
        <f>SUM(C5:P5)</f>
        <v/>
      </c>
      <c r="R5" s="3" t="n"/>
      <c r="S5" s="3">
        <f>B5+Q5-R5</f>
        <v/>
      </c>
    </row>
    <row r="6">
      <c r="A6" s="1" t="inlineStr">
        <is>
          <t>NOV</t>
        </is>
      </c>
      <c r="B6" s="3">
        <f>S5</f>
        <v/>
      </c>
      <c r="C6" s="3" t="n"/>
      <c r="D6" s="3" t="n"/>
      <c r="E6" s="3" t="n"/>
      <c r="F6" s="3" t="n"/>
      <c r="G6" s="3" t="n"/>
      <c r="H6" s="3" t="n"/>
      <c r="I6" s="3" t="n"/>
      <c r="J6" s="3" t="n"/>
      <c r="K6" s="3" t="n"/>
      <c r="L6" s="3" t="n"/>
      <c r="M6" s="3" t="n"/>
      <c r="N6" s="3" t="n"/>
      <c r="O6" s="3" t="n"/>
      <c r="P6" s="3" t="n"/>
      <c r="Q6" s="3">
        <f>SUM(C6:P6)</f>
        <v/>
      </c>
      <c r="R6" s="3" t="n"/>
      <c r="S6" s="3">
        <f>B6+Q6-R6</f>
        <v/>
      </c>
    </row>
    <row r="7">
      <c r="A7" s="1" t="inlineStr">
        <is>
          <t>DEC</t>
        </is>
      </c>
      <c r="B7" s="3">
        <f>S6</f>
        <v/>
      </c>
      <c r="C7" s="3" t="n"/>
      <c r="D7" s="3" t="n"/>
      <c r="E7" s="3" t="n"/>
      <c r="F7" s="3" t="n"/>
      <c r="G7" s="3" t="n"/>
      <c r="H7" s="3" t="n"/>
      <c r="I7" s="3" t="n"/>
      <c r="J7" s="3" t="n"/>
      <c r="K7" s="3" t="n"/>
      <c r="L7" s="3" t="n"/>
      <c r="M7" s="3" t="n"/>
      <c r="N7" s="3" t="n"/>
      <c r="O7" s="3" t="n"/>
      <c r="P7" s="3" t="n"/>
      <c r="Q7" s="3">
        <f>SUM(C7:P7)</f>
        <v/>
      </c>
      <c r="R7" s="3" t="n"/>
      <c r="S7" s="3">
        <f>B7+Q7-R7</f>
        <v/>
      </c>
    </row>
    <row r="8">
      <c r="A8" s="1" t="inlineStr">
        <is>
          <t>JAN</t>
        </is>
      </c>
      <c r="B8" s="3">
        <f>S7</f>
        <v/>
      </c>
      <c r="C8" s="3" t="n"/>
      <c r="D8" s="3" t="n"/>
      <c r="E8" s="3" t="n"/>
      <c r="F8" s="3" t="n"/>
      <c r="G8" s="3" t="n"/>
      <c r="H8" s="3" t="n"/>
      <c r="I8" s="3" t="n"/>
      <c r="J8" s="3" t="n"/>
      <c r="K8" s="3" t="n"/>
      <c r="L8" s="3" t="n"/>
      <c r="M8" s="3" t="n"/>
      <c r="N8" s="3" t="n"/>
      <c r="O8" s="3" t="n"/>
      <c r="P8" s="3" t="n"/>
      <c r="Q8" s="3">
        <f>SUM(C8:P8)</f>
        <v/>
      </c>
      <c r="R8" s="3" t="n"/>
      <c r="S8" s="3">
        <f>B8+Q8-R8</f>
        <v/>
      </c>
    </row>
    <row r="9">
      <c r="A9" s="1" t="inlineStr">
        <is>
          <t>FEB</t>
        </is>
      </c>
      <c r="B9" s="3">
        <f>S8</f>
        <v/>
      </c>
      <c r="C9" s="3" t="n"/>
      <c r="D9" s="3" t="n"/>
      <c r="E9" s="3" t="n"/>
      <c r="F9" s="3" t="n"/>
      <c r="G9" s="3" t="n"/>
      <c r="H9" s="3" t="n"/>
      <c r="I9" s="3" t="n"/>
      <c r="J9" s="3" t="n"/>
      <c r="K9" s="3" t="n"/>
      <c r="L9" s="3" t="n"/>
      <c r="M9" s="3" t="n"/>
      <c r="N9" s="3" t="n"/>
      <c r="O9" s="3" t="n"/>
      <c r="P9" s="3" t="n"/>
      <c r="Q9" s="3">
        <f>SUM(C9:P9)</f>
        <v/>
      </c>
      <c r="R9" s="3" t="n"/>
      <c r="S9" s="3">
        <f>B9+Q9-R9</f>
        <v/>
      </c>
    </row>
    <row r="10">
      <c r="A10" s="1" t="inlineStr">
        <is>
          <t>MAR</t>
        </is>
      </c>
      <c r="B10" s="3">
        <f>S9</f>
        <v/>
      </c>
      <c r="C10" s="3" t="n"/>
      <c r="D10" s="3" t="n"/>
      <c r="E10" s="3" t="n"/>
      <c r="F10" s="3" t="n"/>
      <c r="G10" s="3" t="n"/>
      <c r="H10" s="3" t="n"/>
      <c r="I10" s="3" t="n"/>
      <c r="J10" s="3" t="n"/>
      <c r="K10" s="3" t="n"/>
      <c r="L10" s="3" t="n"/>
      <c r="M10" s="3" t="n"/>
      <c r="N10" s="3" t="n"/>
      <c r="O10" s="3" t="n"/>
      <c r="P10" s="3" t="n"/>
      <c r="Q10" s="3">
        <f>SUM(C10:P10)</f>
        <v/>
      </c>
      <c r="R10" s="3" t="n"/>
      <c r="S10" s="3">
        <f>B10+Q10-R10</f>
        <v/>
      </c>
    </row>
    <row r="11">
      <c r="A11" s="1" t="inlineStr">
        <is>
          <t>APR</t>
        </is>
      </c>
      <c r="B11" s="3">
        <f>S10</f>
        <v/>
      </c>
      <c r="C11" s="3" t="n"/>
      <c r="D11" s="3" t="n"/>
      <c r="E11" s="3" t="n"/>
      <c r="F11" s="3" t="n"/>
      <c r="G11" s="3" t="n"/>
      <c r="H11" s="3" t="n"/>
      <c r="I11" s="3" t="n"/>
      <c r="J11" s="3" t="n"/>
      <c r="K11" s="3" t="n"/>
      <c r="L11" s="3" t="n"/>
      <c r="M11" s="3" t="n"/>
      <c r="N11" s="3" t="n"/>
      <c r="O11" s="3" t="n"/>
      <c r="P11" s="3" t="n"/>
      <c r="Q11" s="3">
        <f>SUM(C11:P11)</f>
        <v/>
      </c>
      <c r="R11" s="3" t="n"/>
      <c r="S11" s="3">
        <f>B11+Q11-R11</f>
        <v/>
      </c>
    </row>
    <row r="12">
      <c r="A12" s="1" t="inlineStr">
        <is>
          <t>MAY</t>
        </is>
      </c>
      <c r="B12" s="3">
        <f>S11</f>
        <v/>
      </c>
      <c r="C12" s="3" t="n"/>
      <c r="D12" s="3" t="n"/>
      <c r="E12" s="3" t="n"/>
      <c r="F12" s="3" t="n"/>
      <c r="G12" s="3" t="n"/>
      <c r="H12" s="3" t="n"/>
      <c r="I12" s="3" t="n"/>
      <c r="J12" s="3" t="n"/>
      <c r="K12" s="3" t="n"/>
      <c r="L12" s="3" t="n"/>
      <c r="M12" s="3" t="n"/>
      <c r="N12" s="3" t="n"/>
      <c r="O12" s="3" t="n"/>
      <c r="P12" s="3" t="n"/>
      <c r="Q12" s="3">
        <f>SUM(C12:P12)</f>
        <v/>
      </c>
      <c r="R12" s="3" t="n"/>
      <c r="S12" s="3">
        <f>B12+Q12-R12</f>
        <v/>
      </c>
    </row>
    <row r="13">
      <c r="A13" s="1" t="inlineStr">
        <is>
          <t>JUN</t>
        </is>
      </c>
      <c r="B13" s="3">
        <f>S12</f>
        <v/>
      </c>
      <c r="C13" s="3" t="n"/>
      <c r="D13" s="3" t="n"/>
      <c r="E13" s="3" t="n"/>
      <c r="F13" s="3" t="n"/>
      <c r="G13" s="3" t="n"/>
      <c r="H13" s="3" t="n"/>
      <c r="I13" s="3" t="n"/>
      <c r="J13" s="3" t="n"/>
      <c r="K13" s="3" t="n"/>
      <c r="L13" s="3" t="n"/>
      <c r="M13" s="3" t="n"/>
      <c r="N13" s="3" t="n"/>
      <c r="O13" s="3" t="n"/>
      <c r="P13" s="3" t="n"/>
      <c r="Q13" s="3">
        <f>SUM(C13:P13)</f>
        <v/>
      </c>
      <c r="R13" s="3" t="n"/>
      <c r="S13" s="3">
        <f>B13+Q13-R13</f>
        <v/>
      </c>
    </row>
    <row r="14">
      <c r="A14" s="1" t="inlineStr">
        <is>
          <t>JUL</t>
        </is>
      </c>
      <c r="B14" s="3">
        <f>S13</f>
        <v/>
      </c>
      <c r="C14" s="3" t="n"/>
      <c r="D14" s="3" t="n"/>
      <c r="E14" s="3" t="n"/>
      <c r="F14" s="3" t="n"/>
      <c r="G14" s="3" t="n"/>
      <c r="H14" s="3" t="n"/>
      <c r="I14" s="3" t="n"/>
      <c r="J14" s="3" t="n"/>
      <c r="K14" s="3" t="n"/>
      <c r="L14" s="3" t="n"/>
      <c r="M14" s="3" t="n"/>
      <c r="N14" s="3" t="n"/>
      <c r="O14" s="3" t="n"/>
      <c r="P14" s="3" t="n"/>
      <c r="Q14" s="3">
        <f>SUM(C14:P14)</f>
        <v/>
      </c>
      <c r="R14" s="3" t="n"/>
      <c r="S14" s="3">
        <f>B14+Q14-R14</f>
        <v/>
      </c>
    </row>
    <row r="15">
      <c r="A15" s="1" t="inlineStr">
        <is>
          <t>TOTAL</t>
        </is>
      </c>
      <c r="B15" s="3" t="n"/>
      <c r="C15" s="3">
        <f>SUM(C3:C14)</f>
        <v/>
      </c>
      <c r="D15" s="3">
        <f>SUM(D3:D14)</f>
        <v/>
      </c>
      <c r="E15" s="3">
        <f>SUM(E3:E14)</f>
        <v/>
      </c>
      <c r="F15" s="3">
        <f>SUM(F3:F14)</f>
        <v/>
      </c>
      <c r="G15" s="3">
        <f>SUM(G3:G14)</f>
        <v/>
      </c>
      <c r="H15" s="3">
        <f>SUM(H3:H14)</f>
        <v/>
      </c>
      <c r="I15" s="3">
        <f>SUM(I3:I14)</f>
        <v/>
      </c>
      <c r="J15" s="3">
        <f>SUM(J3:J14)</f>
        <v/>
      </c>
      <c r="K15" s="3">
        <f>SUM(K3:K14)</f>
        <v/>
      </c>
      <c r="L15" s="3">
        <f>SUM(L3:L14)</f>
        <v/>
      </c>
      <c r="M15" s="3">
        <f>SUM(M3:M14)</f>
        <v/>
      </c>
      <c r="N15" s="3">
        <f>SUM(N3:N14)</f>
        <v/>
      </c>
      <c r="O15" s="3">
        <f>SUM(O3:O14)</f>
        <v/>
      </c>
      <c r="P15" s="3">
        <f>SUM(P3:P14)</f>
        <v/>
      </c>
      <c r="Q15" s="3">
        <f>SUM(Q3:Q14)</f>
        <v/>
      </c>
      <c r="R15" s="3">
        <f>SUM(R3:R14)</f>
        <v/>
      </c>
      <c r="S15" s="3">
        <f>S14</f>
        <v/>
      </c>
    </row>
  </sheetData>
  <autoFilter ref="A2:S15"/>
  <mergeCells count="1">
    <mergeCell ref="A1:S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42"/>
  <sheetViews>
    <sheetView workbookViewId="0">
      <selection activeCell="A41" sqref="A1:O41"/>
    </sheetView>
  </sheetViews>
  <sheetFormatPr baseColWidth="8" defaultRowHeight="15"/>
  <cols>
    <col width="42" customWidth="1" min="1" max="1"/>
    <col width="12" customWidth="1" min="2" max="13"/>
    <col width="14" customWidth="1" min="14" max="14"/>
    <col width="18" customWidth="1" min="15" max="15"/>
  </cols>
  <sheetData>
    <row r="1">
      <c r="A1" s="2" t="inlineStr">
        <is>
          <t>Merchant</t>
        </is>
      </c>
      <c r="B1" s="2" t="inlineStr">
        <is>
          <t>AUG</t>
        </is>
      </c>
      <c r="C1" s="2" t="inlineStr">
        <is>
          <t>SEP</t>
        </is>
      </c>
      <c r="D1" s="2" t="inlineStr">
        <is>
          <t>OCT</t>
        </is>
      </c>
      <c r="E1" s="2" t="inlineStr">
        <is>
          <t>NOV</t>
        </is>
      </c>
      <c r="F1" s="2" t="inlineStr">
        <is>
          <t>DEC</t>
        </is>
      </c>
      <c r="G1" s="2" t="inlineStr">
        <is>
          <t>JAN</t>
        </is>
      </c>
      <c r="H1" s="2" t="inlineStr">
        <is>
          <t>FEB</t>
        </is>
      </c>
      <c r="I1" s="2" t="inlineStr">
        <is>
          <t>MAR</t>
        </is>
      </c>
      <c r="J1" s="2" t="inlineStr">
        <is>
          <t>APR</t>
        </is>
      </c>
      <c r="K1" s="2" t="inlineStr">
        <is>
          <t>MAY</t>
        </is>
      </c>
      <c r="L1" s="2" t="inlineStr">
        <is>
          <t>JUN</t>
        </is>
      </c>
      <c r="M1" s="2" t="inlineStr">
        <is>
          <t>JUL</t>
        </is>
      </c>
      <c r="N1" s="2" t="inlineStr">
        <is>
          <t>Total</t>
        </is>
      </c>
      <c r="O1" s="2" t="inlineStr">
        <is>
          <t>Category</t>
        </is>
      </c>
    </row>
    <row r="2">
      <c r="A2" s="1" t="inlineStr">
        <is>
          <t>434 / Nys Commission</t>
        </is>
      </c>
      <c r="B2" s="3" t="n"/>
      <c r="C2" s="3" t="n"/>
      <c r="D2" s="3" t="n"/>
      <c r="E2" s="3" t="n"/>
      <c r="F2" s="3" t="n"/>
      <c r="G2" s="3" t="n"/>
      <c r="H2" s="3" t="n"/>
      <c r="I2" s="3" t="n"/>
      <c r="J2" s="3" t="n"/>
      <c r="K2" s="3" t="n"/>
      <c r="L2" s="3" t="n"/>
      <c r="M2" s="3" t="n"/>
      <c r="N2" s="3">
        <f>SUM(B2:M2)</f>
        <v/>
      </c>
      <c r="O2" s="1" t="inlineStr">
        <is>
          <t>GERCORY</t>
        </is>
      </c>
    </row>
    <row r="3">
      <c r="A3" s="1" t="inlineStr">
        <is>
          <t>Amazon Prime*Zh8618Uz3 Amzn.Com/Bill WA</t>
        </is>
      </c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>
        <f>SUM(B3:M3)</f>
        <v/>
      </c>
      <c r="O3" s="1" t="inlineStr">
        <is>
          <t>GERCORY</t>
        </is>
      </c>
    </row>
    <row r="4">
      <c r="A4" s="1" t="inlineStr">
        <is>
          <t>Amazon.Com*N22Fjseattlewa US</t>
        </is>
      </c>
      <c r="B4" s="3" t="n"/>
      <c r="C4" s="3" t="n"/>
      <c r="D4" s="3" t="n"/>
      <c r="E4" s="3" t="n"/>
      <c r="F4" s="3" t="n"/>
      <c r="G4" s="3" t="n"/>
      <c r="H4" s="3" t="n"/>
      <c r="I4" s="3" t="n"/>
      <c r="J4" s="3" t="n"/>
      <c r="K4" s="3" t="n"/>
      <c r="L4" s="3" t="n"/>
      <c r="M4" s="3" t="n"/>
      <c r="N4" s="3">
        <f>SUM(B4:M4)</f>
        <v/>
      </c>
      <c r="O4" s="1" t="inlineStr">
        <is>
          <t>GERCORY</t>
        </is>
      </c>
    </row>
    <row r="5">
      <c r="A5" s="1" t="inlineStr">
        <is>
          <t>Amazon.Comseattlewa US</t>
        </is>
      </c>
      <c r="B5" s="3" t="n"/>
      <c r="C5" s="3" t="n"/>
      <c r="D5" s="3" t="n"/>
      <c r="E5" s="3" t="n"/>
      <c r="F5" s="3" t="n"/>
      <c r="G5" s="3" t="n"/>
      <c r="H5" s="3" t="n"/>
      <c r="I5" s="3" t="n"/>
      <c r="J5" s="3" t="n"/>
      <c r="K5" s="3" t="n"/>
      <c r="L5" s="3" t="n"/>
      <c r="M5" s="3" t="n"/>
      <c r="N5" s="3">
        <f>SUM(B5:M5)</f>
        <v/>
      </c>
      <c r="O5" s="1" t="inlineStr">
        <is>
          <t>GERCORY</t>
        </is>
      </c>
    </row>
    <row r="6">
      <c r="A6" s="1" t="inlineStr">
        <is>
          <t>Amex Epayment ACH Pmt</t>
        </is>
      </c>
      <c r="B6" s="3" t="n"/>
      <c r="C6" s="3" t="n"/>
      <c r="D6" s="3" t="n"/>
      <c r="E6" s="3" t="n"/>
      <c r="F6" s="3" t="n"/>
      <c r="G6" s="3" t="n"/>
      <c r="H6" s="3" t="n"/>
      <c r="I6" s="3" t="n"/>
      <c r="J6" s="3" t="n"/>
      <c r="K6" s="3" t="n"/>
      <c r="L6" s="3" t="n"/>
      <c r="M6" s="3" t="n"/>
      <c r="N6" s="3">
        <f>SUM(B6:M6)</f>
        <v/>
      </c>
      <c r="O6" s="1" t="inlineStr">
        <is>
          <t>GERCORY</t>
        </is>
      </c>
    </row>
    <row r="7">
      <c r="A7" s="1" t="inlineStr">
        <is>
          <t>Arrow Bank Na Web Pmt</t>
        </is>
      </c>
      <c r="B7" s="3" t="n"/>
      <c r="C7" s="3" t="n"/>
      <c r="D7" s="3" t="n"/>
      <c r="E7" s="3" t="n"/>
      <c r="F7" s="3" t="n"/>
      <c r="G7" s="3" t="n"/>
      <c r="H7" s="3" t="n"/>
      <c r="I7" s="3" t="n"/>
      <c r="J7" s="3" t="n"/>
      <c r="K7" s="3" t="n"/>
      <c r="L7" s="3" t="n"/>
      <c r="M7" s="3" t="n"/>
      <c r="N7" s="3">
        <f>SUM(B7:M7)</f>
        <v/>
      </c>
      <c r="O7" s="1" t="inlineStr">
        <is>
          <t>GERCORY</t>
        </is>
      </c>
    </row>
    <row r="8">
      <c r="A8" s="1" t="inlineStr">
        <is>
          <t>Bill Pay:Associated Mutual 210061 Ubq1P6Kr</t>
        </is>
      </c>
      <c r="B8" s="3" t="n"/>
      <c r="C8" s="3" t="n"/>
      <c r="D8" s="3" t="n"/>
      <c r="E8" s="3" t="n"/>
      <c r="F8" s="3" t="n"/>
      <c r="G8" s="3" t="n"/>
      <c r="H8" s="3" t="n"/>
      <c r="I8" s="3" t="n"/>
      <c r="J8" s="3" t="n"/>
      <c r="K8" s="3" t="n"/>
      <c r="L8" s="3" t="n"/>
      <c r="M8" s="3" t="n"/>
      <c r="N8" s="3">
        <f>SUM(B8:M8)</f>
        <v/>
      </c>
      <c r="O8" s="1" t="inlineStr">
        <is>
          <t>GERCORY</t>
        </is>
      </c>
    </row>
    <row r="9">
      <c r="A9" s="1" t="inlineStr">
        <is>
          <t>Bill Pay:New York State Ins 237224 4Bq1P6Kr</t>
        </is>
      </c>
      <c r="B9" s="3" t="n"/>
      <c r="C9" s="3" t="n"/>
      <c r="D9" s="3" t="n"/>
      <c r="E9" s="3" t="n"/>
      <c r="F9" s="3" t="n"/>
      <c r="G9" s="3" t="n"/>
      <c r="H9" s="3" t="n"/>
      <c r="I9" s="3" t="n"/>
      <c r="J9" s="3" t="n"/>
      <c r="K9" s="3" t="n"/>
      <c r="L9" s="3" t="n"/>
      <c r="M9" s="3" t="n"/>
      <c r="N9" s="3">
        <f>SUM(B9:M9)</f>
        <v/>
      </c>
      <c r="O9" s="1" t="inlineStr">
        <is>
          <t>OFFICE EXPENSE</t>
        </is>
      </c>
    </row>
    <row r="10">
      <c r="A10" s="1" t="inlineStr">
        <is>
          <t>Bill Pay:Orange &amp; Rockland 136130 6Bq1P6Kr</t>
        </is>
      </c>
      <c r="B10" s="3" t="n"/>
      <c r="C10" s="3" t="n"/>
      <c r="D10" s="3" t="n"/>
      <c r="E10" s="3" t="n"/>
      <c r="F10" s="3" t="n"/>
      <c r="G10" s="3" t="n"/>
      <c r="H10" s="3" t="n"/>
      <c r="I10" s="3" t="n"/>
      <c r="J10" s="3" t="n"/>
      <c r="K10" s="3" t="n"/>
      <c r="L10" s="3" t="n"/>
      <c r="M10" s="3" t="n"/>
      <c r="N10" s="3">
        <f>SUM(B10:M10)</f>
        <v/>
      </c>
      <c r="O10" s="1" t="inlineStr">
        <is>
          <t>OFFICE EXPENSE</t>
        </is>
      </c>
    </row>
    <row r="11">
      <c r="A11" s="1" t="inlineStr">
        <is>
          <t>Bill Pay:Orange &amp; Rockland 879293 5Bq1P6Kr</t>
        </is>
      </c>
      <c r="B11" s="3" t="n"/>
      <c r="C11" s="3" t="n"/>
      <c r="D11" s="3" t="n"/>
      <c r="E11" s="3" t="n"/>
      <c r="F11" s="3" t="n"/>
      <c r="G11" s="3" t="n"/>
      <c r="H11" s="3" t="n"/>
      <c r="I11" s="3" t="n"/>
      <c r="J11" s="3" t="n"/>
      <c r="K11" s="3" t="n"/>
      <c r="L11" s="3" t="n"/>
      <c r="M11" s="3" t="n"/>
      <c r="N11" s="3">
        <f>SUM(B11:M11)</f>
        <v/>
      </c>
      <c r="O11" s="1" t="inlineStr">
        <is>
          <t>OFFICE EXPENSE</t>
        </is>
      </c>
    </row>
    <row r="12">
      <c r="A12" s="1" t="inlineStr">
        <is>
          <t>Bill Pay:Veolia Water New Y 200045 6Bu1T6Kr</t>
        </is>
      </c>
      <c r="B12" s="3" t="n"/>
      <c r="C12" s="3" t="n"/>
      <c r="D12" s="3" t="n"/>
      <c r="E12" s="3" t="n"/>
      <c r="F12" s="3" t="n"/>
      <c r="G12" s="3" t="n"/>
      <c r="H12" s="3" t="n"/>
      <c r="I12" s="3" t="n"/>
      <c r="J12" s="3" t="n"/>
      <c r="K12" s="3" t="n"/>
      <c r="L12" s="3" t="n"/>
      <c r="M12" s="3" t="n"/>
      <c r="N12" s="3">
        <f>SUM(B12:M12)</f>
        <v/>
      </c>
      <c r="O12" s="1" t="inlineStr">
        <is>
          <t>OFFICE EXPENSE</t>
        </is>
      </c>
    </row>
    <row r="13">
      <c r="A13" s="1" t="inlineStr">
        <is>
          <t>Bill Pay:Veolia Water New Y 200054 Hbu1T6Kr</t>
        </is>
      </c>
      <c r="B13" s="3" t="n"/>
      <c r="C13" s="3" t="n"/>
      <c r="D13" s="3" t="n"/>
      <c r="E13" s="3" t="n"/>
      <c r="F13" s="3" t="n"/>
      <c r="G13" s="3" t="n"/>
      <c r="H13" s="3" t="n"/>
      <c r="I13" s="3" t="n"/>
      <c r="J13" s="3" t="n"/>
      <c r="K13" s="3" t="n"/>
      <c r="L13" s="3" t="n"/>
      <c r="M13" s="3" t="n"/>
      <c r="N13" s="3">
        <f>SUM(B13:M13)</f>
        <v/>
      </c>
      <c r="O13" s="1" t="inlineStr">
        <is>
          <t>OFFICE EXPENSE</t>
        </is>
      </c>
    </row>
    <row r="14">
      <c r="A14" s="1" t="inlineStr">
        <is>
          <t>Citi Card Onlinepayment</t>
        </is>
      </c>
      <c r="B14" s="3" t="n"/>
      <c r="C14" s="3" t="n"/>
      <c r="D14" s="3" t="n"/>
      <c r="E14" s="3" t="n"/>
      <c r="F14" s="3" t="n"/>
      <c r="G14" s="3" t="n"/>
      <c r="H14" s="3" t="n"/>
      <c r="I14" s="3" t="n"/>
      <c r="J14" s="3" t="n"/>
      <c r="K14" s="3" t="n"/>
      <c r="L14" s="3" t="n"/>
      <c r="M14" s="3" t="n"/>
      <c r="N14" s="3">
        <f>SUM(B14:M14)</f>
        <v/>
      </c>
      <c r="O14" s="1" t="inlineStr">
        <is>
          <t>OFFICE EXPENSE</t>
        </is>
      </c>
    </row>
    <row r="15">
      <c r="A15" s="1" t="inlineStr">
        <is>
          <t>Credit One Bank Payment</t>
        </is>
      </c>
      <c r="B15" s="3" t="n"/>
      <c r="C15" s="3" t="n"/>
      <c r="D15" s="3" t="n"/>
      <c r="E15" s="3" t="n"/>
      <c r="F15" s="3" t="n"/>
      <c r="G15" s="3" t="n"/>
      <c r="H15" s="3" t="n"/>
      <c r="I15" s="3" t="n"/>
      <c r="J15" s="3" t="n"/>
      <c r="K15" s="3" t="n"/>
      <c r="L15" s="3" t="n"/>
      <c r="M15" s="3" t="n"/>
      <c r="N15" s="3">
        <f>SUM(B15:M15)</f>
        <v/>
      </c>
      <c r="O15" s="1" t="inlineStr">
        <is>
          <t>OFFICE EXPENSE</t>
        </is>
      </c>
    </row>
    <row r="16">
      <c r="A16" s="1" t="inlineStr">
        <is>
          <t>Discover Bank Net/Mobile</t>
        </is>
      </c>
      <c r="B16" s="3" t="n"/>
      <c r="C16" s="3" t="n"/>
      <c r="D16" s="3" t="n"/>
      <c r="E16" s="3" t="n"/>
      <c r="F16" s="3" t="n"/>
      <c r="G16" s="3" t="n"/>
      <c r="H16" s="3" t="n"/>
      <c r="I16" s="3" t="n"/>
      <c r="J16" s="3" t="n"/>
      <c r="K16" s="3" t="n"/>
      <c r="L16" s="3" t="n"/>
      <c r="M16" s="3" t="n"/>
      <c r="N16" s="3">
        <f>SUM(B16:M16)</f>
        <v/>
      </c>
      <c r="O16" s="1" t="inlineStr">
        <is>
          <t>OFFICE EXPENSE</t>
        </is>
      </c>
    </row>
    <row r="17">
      <c r="A17" s="1" t="inlineStr">
        <is>
          <t>FIVE GUYS 1522 QSR 000001522 TULSA OK</t>
        </is>
      </c>
      <c r="B17" s="3" t="n"/>
      <c r="C17" s="3" t="n"/>
      <c r="D17" s="3" t="n"/>
      <c r="E17" s="3" t="n"/>
      <c r="F17" s="3" t="n"/>
      <c r="G17" s="3" t="n"/>
      <c r="H17" s="3" t="n"/>
      <c r="I17" s="3" t="n"/>
      <c r="J17" s="3" t="n"/>
      <c r="K17" s="3" t="n"/>
      <c r="L17" s="3" t="n"/>
      <c r="M17" s="3" t="n"/>
      <c r="N17" s="3">
        <f>SUM(B17:M17)</f>
        <v/>
      </c>
      <c r="O17" s="1" t="inlineStr">
        <is>
          <t>OFFICE EXPENSE</t>
        </is>
      </c>
    </row>
    <row r="18">
      <c r="A18" s="1" t="inlineStr">
        <is>
          <t>Huntington Banksil Payment</t>
        </is>
      </c>
      <c r="B18" s="3" t="n"/>
      <c r="C18" s="3" t="n"/>
      <c r="D18" s="3" t="n"/>
      <c r="E18" s="3" t="n"/>
      <c r="F18" s="3" t="n"/>
      <c r="G18" s="3" t="n"/>
      <c r="H18" s="3" t="n"/>
      <c r="I18" s="3" t="n"/>
      <c r="J18" s="3" t="n"/>
      <c r="K18" s="3" t="n"/>
      <c r="L18" s="3" t="n"/>
      <c r="M18" s="3" t="n"/>
      <c r="N18" s="3">
        <f>SUM(B18:M18)</f>
        <v/>
      </c>
      <c r="O18" s="1" t="inlineStr">
        <is>
          <t>MEALS</t>
        </is>
      </c>
    </row>
    <row r="19">
      <c r="A19" s="1" t="inlineStr">
        <is>
          <t>Internet Trf To Client-Added Transfer Account</t>
        </is>
      </c>
      <c r="B19" s="3" t="n"/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>
        <f>SUM(B19:M19)</f>
        <v/>
      </c>
      <c r="O19" s="1" t="inlineStr">
        <is>
          <t>MEALS</t>
        </is>
      </c>
    </row>
    <row r="20">
      <c r="A20" s="1" t="inlineStr">
        <is>
          <t>Irs Usataxpymt</t>
        </is>
      </c>
      <c r="B20" s="3" t="n"/>
      <c r="C20" s="3" t="n"/>
      <c r="D20" s="3" t="n"/>
      <c r="E20" s="3" t="n"/>
      <c r="F20" s="3" t="n"/>
      <c r="G20" s="3" t="n"/>
      <c r="H20" s="3" t="n"/>
      <c r="I20" s="3" t="n"/>
      <c r="J20" s="3" t="n"/>
      <c r="K20" s="3" t="n"/>
      <c r="L20" s="3" t="n"/>
      <c r="M20" s="3" t="n"/>
      <c r="N20" s="3">
        <f>SUM(B20:M20)</f>
        <v/>
      </c>
      <c r="O20" s="1" t="inlineStr">
        <is>
          <t>MEALS</t>
        </is>
      </c>
    </row>
    <row r="21">
      <c r="A21" s="1" t="inlineStr">
        <is>
          <t>Kindercare Portland OR</t>
        </is>
      </c>
      <c r="B21" s="3" t="n"/>
      <c r="C21" s="3" t="n"/>
      <c r="D21" s="3" t="n"/>
      <c r="E21" s="3" t="n"/>
      <c r="F21" s="3" t="n"/>
      <c r="G21" s="3" t="n"/>
      <c r="H21" s="3" t="n"/>
      <c r="I21" s="3" t="n"/>
      <c r="J21" s="3" t="n"/>
      <c r="K21" s="3" t="n"/>
      <c r="L21" s="3" t="n"/>
      <c r="M21" s="3" t="n"/>
      <c r="N21" s="3">
        <f>SUM(B21:M21)</f>
        <v/>
      </c>
      <c r="O21" s="1" t="inlineStr">
        <is>
          <t>MEALS</t>
        </is>
      </c>
    </row>
    <row r="22">
      <c r="A22" s="1" t="inlineStr">
        <is>
          <t>No1 Sushi 88 Corkbbo ACH</t>
        </is>
      </c>
      <c r="B22" s="3" t="n"/>
      <c r="C22" s="3" t="n"/>
      <c r="D22" s="3" t="n"/>
      <c r="E22" s="3" t="n"/>
      <c r="F22" s="3" t="n"/>
      <c r="G22" s="3" t="n"/>
      <c r="H22" s="3" t="n"/>
      <c r="I22" s="3" t="n"/>
      <c r="J22" s="3" t="n"/>
      <c r="K22" s="3" t="n"/>
      <c r="L22" s="3" t="n"/>
      <c r="M22" s="3" t="n"/>
      <c r="N22" s="3">
        <f>SUM(B22:M22)</f>
        <v/>
      </c>
      <c r="O22" s="1" t="inlineStr">
        <is>
          <t>MEALS</t>
        </is>
      </c>
    </row>
    <row r="23">
      <c r="A23" s="1" t="inlineStr">
        <is>
          <t>NORDSTROM DIRECT http://shop.nordstrom WA</t>
        </is>
      </c>
      <c r="B23" s="3" t="n"/>
      <c r="C23" s="3" t="n"/>
      <c r="D23" s="3" t="n"/>
      <c r="E23" s="3" t="n"/>
      <c r="F23" s="3" t="n"/>
      <c r="G23" s="3" t="n"/>
      <c r="H23" s="3" t="n"/>
      <c r="I23" s="3" t="n"/>
      <c r="J23" s="3" t="n"/>
      <c r="K23" s="3" t="n"/>
      <c r="L23" s="3" t="n"/>
      <c r="M23" s="3" t="n"/>
      <c r="N23" s="3">
        <f>SUM(B23:M23)</f>
        <v/>
      </c>
      <c r="O23" s="1" t="inlineStr">
        <is>
          <t>MEALS</t>
        </is>
      </c>
    </row>
    <row r="24">
      <c r="A24" s="1" t="inlineStr">
        <is>
          <t>Nys Dtf Pit Tax Paymnt</t>
        </is>
      </c>
      <c r="B24" s="3" t="n"/>
      <c r="C24" s="3" t="n"/>
      <c r="D24" s="3" t="n"/>
      <c r="E24" s="3" t="n"/>
      <c r="F24" s="3" t="n"/>
      <c r="G24" s="3" t="n"/>
      <c r="H24" s="3" t="n"/>
      <c r="I24" s="3" t="n"/>
      <c r="J24" s="3" t="n"/>
      <c r="K24" s="3" t="n"/>
      <c r="L24" s="3" t="n"/>
      <c r="M24" s="3" t="n"/>
      <c r="N24" s="3">
        <f>SUM(B24:M24)</f>
        <v/>
      </c>
      <c r="O24" s="1" t="inlineStr">
        <is>
          <t>MEALS</t>
        </is>
      </c>
    </row>
    <row r="25">
      <c r="A25" s="1" t="inlineStr">
        <is>
          <t>PANDA EXPRESS TACOMA WA</t>
        </is>
      </c>
      <c r="B25" s="3" t="n"/>
      <c r="C25" s="3" t="n"/>
      <c r="D25" s="3" t="n"/>
      <c r="E25" s="3" t="n"/>
      <c r="F25" s="3" t="n"/>
      <c r="G25" s="3" t="n"/>
      <c r="H25" s="3" t="n"/>
      <c r="I25" s="3" t="n"/>
      <c r="J25" s="3" t="n"/>
      <c r="K25" s="3" t="n"/>
      <c r="L25" s="3" t="n"/>
      <c r="M25" s="3" t="n"/>
      <c r="N25" s="3">
        <f>SUM(B25:M25)</f>
        <v/>
      </c>
      <c r="O25" s="1" t="inlineStr">
        <is>
          <t>MEALS</t>
        </is>
      </c>
    </row>
    <row r="26">
      <c r="A26" s="1" t="inlineStr">
        <is>
          <t>Paypal Inst Xfer</t>
        </is>
      </c>
      <c r="B26" s="3" t="n"/>
      <c r="C26" s="3" t="n"/>
      <c r="D26" s="3" t="n"/>
      <c r="E26" s="3" t="n"/>
      <c r="F26" s="3" t="n"/>
      <c r="G26" s="3" t="n"/>
      <c r="H26" s="3" t="n"/>
      <c r="I26" s="3" t="n"/>
      <c r="J26" s="3" t="n"/>
      <c r="K26" s="3" t="n"/>
      <c r="L26" s="3" t="n"/>
      <c r="M26" s="3" t="n"/>
      <c r="N26" s="3">
        <f>SUM(B26:M26)</f>
        <v/>
      </c>
      <c r="O26" s="1" t="inlineStr">
        <is>
          <t>MEALS</t>
        </is>
      </c>
    </row>
    <row r="27">
      <c r="A27" s="1" t="inlineStr">
        <is>
          <t>POS Mac Amazon.Com*9O5 Seattle WA</t>
        </is>
      </c>
      <c r="B27" s="3" t="n"/>
      <c r="C27" s="3" t="n"/>
      <c r="D27" s="3" t="n"/>
      <c r="E27" s="3" t="n"/>
      <c r="F27" s="3" t="n"/>
      <c r="G27" s="3" t="n"/>
      <c r="H27" s="3" t="n"/>
      <c r="I27" s="3" t="n"/>
      <c r="J27" s="3" t="n"/>
      <c r="K27" s="3" t="n"/>
      <c r="L27" s="3" t="n"/>
      <c r="M27" s="3" t="n"/>
      <c r="N27" s="3">
        <f>SUM(B27:M27)</f>
        <v/>
      </c>
      <c r="O27" s="1" t="inlineStr">
        <is>
          <t>MEALS</t>
        </is>
      </c>
    </row>
    <row r="28">
      <c r="A28" s="1" t="inlineStr">
        <is>
          <t>POS Mac Amazon.Com*Au5 Seattle WA</t>
        </is>
      </c>
      <c r="B28" s="3" t="n"/>
      <c r="C28" s="3" t="n"/>
      <c r="D28" s="3" t="n"/>
      <c r="E28" s="3" t="n"/>
      <c r="F28" s="3" t="n"/>
      <c r="G28" s="3" t="n"/>
      <c r="H28" s="3" t="n"/>
      <c r="I28" s="3" t="n"/>
      <c r="J28" s="3" t="n"/>
      <c r="K28" s="3" t="n"/>
      <c r="L28" s="3" t="n"/>
      <c r="M28" s="3" t="n"/>
      <c r="N28" s="3">
        <f>SUM(B28:M28)</f>
        <v/>
      </c>
      <c r="O28" s="1" t="inlineStr">
        <is>
          <t>MEALS</t>
        </is>
      </c>
    </row>
    <row r="29">
      <c r="A29" s="1" t="inlineStr">
        <is>
          <t>POS Mac Amazon.Com*Bq9 Seattle WA</t>
        </is>
      </c>
      <c r="B29" s="3" t="n"/>
      <c r="C29" s="3" t="n"/>
      <c r="D29" s="3" t="n"/>
      <c r="E29" s="3" t="n"/>
      <c r="F29" s="3" t="n"/>
      <c r="G29" s="3" t="n"/>
      <c r="H29" s="3" t="n"/>
      <c r="I29" s="3" t="n"/>
      <c r="J29" s="3" t="n"/>
      <c r="K29" s="3" t="n"/>
      <c r="L29" s="3" t="n"/>
      <c r="M29" s="3" t="n"/>
      <c r="N29" s="3">
        <f>SUM(B29:M29)</f>
        <v/>
      </c>
      <c r="O29" s="1" t="inlineStr">
        <is>
          <t>SUPPLY</t>
        </is>
      </c>
    </row>
    <row r="30">
      <c r="A30" s="1" t="inlineStr">
        <is>
          <t>POS Mac Amazon.Com*Ge2 Seattle WA</t>
        </is>
      </c>
      <c r="B30" s="3" t="n"/>
      <c r="C30" s="3" t="n"/>
      <c r="D30" s="3" t="n"/>
      <c r="E30" s="3" t="n"/>
      <c r="F30" s="3" t="n"/>
      <c r="G30" s="3" t="n"/>
      <c r="H30" s="3" t="n"/>
      <c r="I30" s="3" t="n"/>
      <c r="J30" s="3" t="n"/>
      <c r="K30" s="3" t="n"/>
      <c r="L30" s="3" t="n"/>
      <c r="M30" s="3" t="n"/>
      <c r="N30" s="3">
        <f>SUM(B30:M30)</f>
        <v/>
      </c>
      <c r="O30" s="1" t="inlineStr">
        <is>
          <t>SUPPLY</t>
        </is>
      </c>
    </row>
    <row r="31">
      <c r="A31" s="1" t="inlineStr">
        <is>
          <t>POS Mac Amazon.Com*Mz5 Seattle WA</t>
        </is>
      </c>
      <c r="B31" s="3" t="n"/>
      <c r="C31" s="3" t="n"/>
      <c r="D31" s="3" t="n"/>
      <c r="E31" s="3" t="n"/>
      <c r="F31" s="3" t="n"/>
      <c r="G31" s="3" t="n"/>
      <c r="H31" s="3" t="n"/>
      <c r="I31" s="3" t="n"/>
      <c r="J31" s="3" t="n"/>
      <c r="K31" s="3" t="n"/>
      <c r="L31" s="3" t="n"/>
      <c r="M31" s="3" t="n"/>
      <c r="N31" s="3">
        <f>SUM(B31:M31)</f>
        <v/>
      </c>
      <c r="O31" s="1" t="inlineStr">
        <is>
          <t>SUPPLY</t>
        </is>
      </c>
    </row>
    <row r="32">
      <c r="A32" s="1" t="inlineStr">
        <is>
          <t>POS Mac Amazon.Com*Nx6 Seattle WA</t>
        </is>
      </c>
      <c r="B32" s="3" t="n"/>
      <c r="C32" s="3" t="n"/>
      <c r="D32" s="3" t="n"/>
      <c r="E32" s="3" t="n"/>
      <c r="F32" s="3" t="n"/>
      <c r="G32" s="3" t="n"/>
      <c r="H32" s="3" t="n"/>
      <c r="I32" s="3" t="n"/>
      <c r="J32" s="3" t="n"/>
      <c r="K32" s="3" t="n"/>
      <c r="L32" s="3" t="n"/>
      <c r="M32" s="3" t="n"/>
      <c r="N32" s="3">
        <f>SUM(B32:M32)</f>
        <v/>
      </c>
      <c r="O32" s="1" t="inlineStr">
        <is>
          <t>SUPPLY</t>
        </is>
      </c>
    </row>
    <row r="33">
      <c r="A33" s="1" t="inlineStr">
        <is>
          <t>POS Mac Amazon.Com*Sb8 Seattle WA</t>
        </is>
      </c>
      <c r="B33" s="3" t="n"/>
      <c r="C33" s="3" t="n"/>
      <c r="D33" s="3" t="n"/>
      <c r="E33" s="3" t="n"/>
      <c r="F33" s="3" t="n"/>
      <c r="G33" s="3" t="n"/>
      <c r="H33" s="3" t="n"/>
      <c r="I33" s="3" t="n"/>
      <c r="J33" s="3" t="n"/>
      <c r="K33" s="3" t="n"/>
      <c r="L33" s="3" t="n"/>
      <c r="M33" s="3" t="n"/>
      <c r="N33" s="3">
        <f>SUM(B33:M33)</f>
        <v/>
      </c>
      <c r="O33" s="1" t="inlineStr">
        <is>
          <t>SUPPLY</t>
        </is>
      </c>
    </row>
    <row r="34">
      <c r="A34" s="1" t="inlineStr">
        <is>
          <t>POS Mac Amazon.Com*TN0 Seattle WA</t>
        </is>
      </c>
      <c r="B34" s="3" t="n"/>
      <c r="C34" s="3" t="n"/>
      <c r="D34" s="3" t="n"/>
      <c r="E34" s="3" t="n"/>
      <c r="F34" s="3" t="n"/>
      <c r="G34" s="3" t="n"/>
      <c r="H34" s="3" t="n"/>
      <c r="I34" s="3" t="n"/>
      <c r="J34" s="3" t="n"/>
      <c r="K34" s="3" t="n"/>
      <c r="L34" s="3" t="n"/>
      <c r="M34" s="3" t="n"/>
      <c r="N34" s="3">
        <f>SUM(B34:M34)</f>
        <v/>
      </c>
      <c r="O34" s="1" t="inlineStr">
        <is>
          <t>SUPPLY</t>
        </is>
      </c>
    </row>
    <row r="35">
      <c r="A35" s="1" t="inlineStr">
        <is>
          <t>POS Mac Amazon.Com*V25 Seattle WA</t>
        </is>
      </c>
      <c r="B35" s="3" t="n"/>
      <c r="C35" s="3" t="n"/>
      <c r="D35" s="3" t="n"/>
      <c r="E35" s="3" t="n"/>
      <c r="F35" s="3" t="n"/>
      <c r="G35" s="3" t="n"/>
      <c r="H35" s="3" t="n"/>
      <c r="I35" s="3" t="n"/>
      <c r="J35" s="3" t="n"/>
      <c r="K35" s="3" t="n"/>
      <c r="L35" s="3" t="n"/>
      <c r="M35" s="3" t="n"/>
      <c r="N35" s="3">
        <f>SUM(B35:M35)</f>
        <v/>
      </c>
      <c r="O35" s="1" t="inlineStr">
        <is>
          <t>SUPPLY</t>
        </is>
      </c>
    </row>
    <row r="36">
      <c r="A36" s="1" t="inlineStr">
        <is>
          <t>POS Mac Amazon.Com*Yr6 Seattle WA</t>
        </is>
      </c>
      <c r="B36" s="3" t="n"/>
      <c r="C36" s="3" t="n"/>
      <c r="D36" s="3" t="n"/>
      <c r="E36" s="3" t="n"/>
      <c r="F36" s="3" t="n"/>
      <c r="G36" s="3" t="n"/>
      <c r="H36" s="3" t="n"/>
      <c r="I36" s="3" t="n"/>
      <c r="J36" s="3" t="n"/>
      <c r="K36" s="3" t="n"/>
      <c r="L36" s="3" t="n"/>
      <c r="M36" s="3" t="n"/>
      <c r="N36" s="3">
        <f>SUM(B36:M36)</f>
        <v/>
      </c>
      <c r="O36" s="1" t="inlineStr">
        <is>
          <t>SUPPLY</t>
        </is>
      </c>
    </row>
    <row r="37">
      <c r="A37" s="1" t="inlineStr">
        <is>
          <t>POS Mac Amazon.Com*Za2 Seattle WA</t>
        </is>
      </c>
      <c r="B37" s="3" t="n"/>
      <c r="C37" s="3" t="n"/>
      <c r="D37" s="3" t="n"/>
      <c r="E37" s="3" t="n"/>
      <c r="F37" s="3" t="n"/>
      <c r="G37" s="3" t="n"/>
      <c r="H37" s="3" t="n"/>
      <c r="I37" s="3" t="n"/>
      <c r="J37" s="3" t="n"/>
      <c r="K37" s="3" t="n"/>
      <c r="L37" s="3" t="n"/>
      <c r="M37" s="3" t="n"/>
      <c r="N37" s="3">
        <f>SUM(B37:M37)</f>
        <v/>
      </c>
      <c r="O37" s="1" t="inlineStr">
        <is>
          <t>SUPPLY</t>
        </is>
      </c>
    </row>
    <row r="38">
      <c r="A38" s="1" t="inlineStr">
        <is>
          <t>Prog Casualty Ins Prem</t>
        </is>
      </c>
      <c r="B38" s="3" t="n"/>
      <c r="C38" s="3" t="n"/>
      <c r="D38" s="3" t="n"/>
      <c r="E38" s="3" t="n"/>
      <c r="F38" s="3" t="n"/>
      <c r="G38" s="3" t="n"/>
      <c r="H38" s="3" t="n"/>
      <c r="I38" s="3" t="n"/>
      <c r="J38" s="3" t="n"/>
      <c r="K38" s="3" t="n"/>
      <c r="L38" s="3" t="n"/>
      <c r="M38" s="3" t="n"/>
      <c r="N38" s="3">
        <f>SUM(B38:M38)</f>
        <v/>
      </c>
      <c r="O38" s="1" t="inlineStr">
        <is>
          <t>SUPPLY</t>
        </is>
      </c>
    </row>
    <row r="39">
      <c r="A39" s="1" t="inlineStr">
        <is>
          <t>WHOLEFDS CHB #10588 000010588 UNIVERSITY PL WA</t>
        </is>
      </c>
      <c r="B39" s="3" t="n"/>
      <c r="C39" s="3" t="n"/>
      <c r="D39" s="3" t="n"/>
      <c r="E39" s="3" t="n"/>
      <c r="F39" s="3" t="n"/>
      <c r="G39" s="3" t="n"/>
      <c r="H39" s="3" t="n"/>
      <c r="I39" s="3" t="n"/>
      <c r="J39" s="3" t="n"/>
      <c r="K39" s="3" t="n"/>
      <c r="L39" s="3" t="n"/>
      <c r="M39" s="3" t="n"/>
      <c r="N39" s="3">
        <f>SUM(B39:M39)</f>
        <v/>
      </c>
      <c r="O39" s="1" t="inlineStr">
        <is>
          <t>SUPPLY</t>
        </is>
      </c>
    </row>
    <row r="40">
      <c r="A40" s="1" t="inlineStr">
        <is>
          <t>Withdrawal Branch 0964 New York</t>
        </is>
      </c>
      <c r="B40" s="3" t="n"/>
      <c r="C40" s="3" t="n"/>
      <c r="D40" s="3" t="n"/>
      <c r="E40" s="3" t="n"/>
      <c r="F40" s="3" t="n"/>
      <c r="G40" s="3" t="n"/>
      <c r="H40" s="3" t="n"/>
      <c r="I40" s="3" t="n"/>
      <c r="J40" s="3" t="n"/>
      <c r="K40" s="3" t="n"/>
      <c r="L40" s="3" t="n"/>
      <c r="M40" s="3" t="n"/>
      <c r="N40" s="3">
        <f>SUM(B40:M40)</f>
        <v/>
      </c>
      <c r="O40" s="1" t="inlineStr">
        <is>
          <t>SUPPLY</t>
        </is>
      </c>
    </row>
    <row r="41">
      <c r="A41" s="1" t="inlineStr">
        <is>
          <t>discover Bank Net/Mobile</t>
        </is>
      </c>
      <c r="B41" s="3" t="n"/>
      <c r="C41" s="3" t="n"/>
      <c r="D41" s="3" t="n"/>
      <c r="E41" s="3" t="n"/>
      <c r="F41" s="3" t="n"/>
      <c r="G41" s="3" t="n"/>
      <c r="H41" s="3" t="n"/>
      <c r="I41" s="3" t="n"/>
      <c r="J41" s="3" t="n"/>
      <c r="K41" s="3" t="n"/>
      <c r="L41" s="3" t="n"/>
      <c r="M41" s="3" t="n"/>
      <c r="N41" s="3">
        <f>SUM(B41:M41)</f>
        <v/>
      </c>
      <c r="O41" s="1" t="n"/>
    </row>
    <row r="42">
      <c r="A42" t="inlineStr">
        <is>
          <t>Total</t>
        </is>
      </c>
      <c r="B42" s="9">
        <f>SUM(B2:B41)</f>
        <v/>
      </c>
      <c r="C42" s="9">
        <f>SUM(C2:C41)</f>
        <v/>
      </c>
      <c r="D42" s="9">
        <f>SUM(D2:D41)</f>
        <v/>
      </c>
      <c r="E42" s="9">
        <f>SUM(E2:E41)</f>
        <v/>
      </c>
      <c r="F42" s="9">
        <f>SUM(F2:F41)</f>
        <v/>
      </c>
      <c r="G42" s="9">
        <f>SUM(G2:G41)</f>
        <v/>
      </c>
      <c r="H42" s="9">
        <f>SUM(H2:H41)</f>
        <v/>
      </c>
      <c r="I42" s="9">
        <f>SUM(I2:I41)</f>
        <v/>
      </c>
      <c r="J42" s="9">
        <f>SUM(J2:J41)</f>
        <v/>
      </c>
      <c r="K42" s="9">
        <f>SUM(K2:K41)</f>
        <v/>
      </c>
      <c r="L42" s="9">
        <f>SUM(L2:L41)</f>
        <v/>
      </c>
      <c r="M42" s="9">
        <f>SUM(M2:M41)</f>
        <v/>
      </c>
      <c r="N42" s="9">
        <f>SUM(B42:M42)</f>
        <v/>
      </c>
    </row>
  </sheetData>
  <autoFilter ref="A1:O4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15"/>
  <sheetViews>
    <sheetView workbookViewId="0">
      <selection activeCell="A1" sqref="A1:XFD1048576"/>
    </sheetView>
  </sheetViews>
  <sheetFormatPr baseColWidth="8" defaultRowHeight="15"/>
  <cols>
    <col width="6.85546875" bestFit="1" customWidth="1" min="1" max="1"/>
    <col width="15.7109375" bestFit="1" customWidth="1" min="2" max="2"/>
    <col width="22.140625" bestFit="1" customWidth="1" min="3" max="3"/>
    <col width="27.7109375" bestFit="1" customWidth="1" min="4" max="4"/>
    <col width="14.85546875" bestFit="1" customWidth="1" min="5" max="5"/>
    <col width="21.7109375" bestFit="1" customWidth="1" min="6" max="6"/>
    <col width="27.5703125" bestFit="1" customWidth="1" min="7" max="7"/>
    <col width="9.42578125" bestFit="1" customWidth="1" min="8" max="8"/>
    <col width="47.42578125" bestFit="1" customWidth="1" min="9" max="9"/>
    <col width="47.7109375" bestFit="1" customWidth="1" min="10" max="10"/>
    <col width="50.85546875" bestFit="1" customWidth="1" min="11" max="11"/>
    <col width="38.28515625" bestFit="1" customWidth="1" min="12" max="12"/>
    <col width="40.85546875" bestFit="1" customWidth="1" min="13" max="13"/>
    <col width="40.7109375" bestFit="1" customWidth="1" min="14" max="14"/>
    <col width="40.42578125" bestFit="1" customWidth="1" min="15" max="15"/>
    <col width="24.7109375" bestFit="1" customWidth="1" min="16" max="16"/>
    <col width="24.7109375" bestFit="1" customWidth="1" min="17" max="17"/>
    <col width="24.7109375" bestFit="1" customWidth="1" min="18" max="18"/>
    <col width="24.7109375" bestFit="1" customWidth="1" min="19" max="19"/>
  </cols>
  <sheetData>
    <row r="1">
      <c r="A1" s="1" t="n"/>
      <c r="B1" s="2" t="inlineStr">
        <is>
          <t>CHASE #3444</t>
        </is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</row>
    <row r="2">
      <c r="A2" s="2" t="n"/>
      <c r="B2" s="2" t="inlineStr">
        <is>
          <t>BEGIN BALANCE</t>
        </is>
      </c>
      <c r="C2" s="2" t="inlineStr">
        <is>
          <t>CASH / CHECK DEPOSIT</t>
        </is>
      </c>
      <c r="D2" s="2" t="inlineStr">
        <is>
          <t>NO1 SUSHI 88 CORKBBO ACH</t>
        </is>
      </c>
      <c r="E2" s="2" t="inlineStr">
        <is>
          <t>VEOLIA WATER</t>
        </is>
      </c>
      <c r="F2" s="2" t="inlineStr">
        <is>
          <t>ORANGE &amp; ROCKLAND</t>
        </is>
      </c>
      <c r="G2" s="2" t="inlineStr">
        <is>
          <t>WITHDRAWAL BRANCH 0964</t>
        </is>
      </c>
      <c r="H2" s="2" t="inlineStr">
        <is>
          <t>AMAZON</t>
        </is>
      </c>
      <c r="I2" s="2" t="inlineStr">
        <is>
          <t>BILL PAY:VEOLIA WATER NEW Y 200045 6BU1T6KR</t>
        </is>
      </c>
      <c r="J2" s="2" t="inlineStr">
        <is>
          <t>BILL PAY:ORANGE &amp; ROCKLAND 136130 6BQ1P6KR</t>
        </is>
      </c>
      <c r="K2" s="2" t="inlineStr">
        <is>
          <t>INTERNET TRF TO CLIENT-ADDED TRANSFER ACCOUNT</t>
        </is>
      </c>
      <c r="L2" s="2" t="inlineStr">
        <is>
          <t>WITHDRAWAL BRANCH 0964 NEW YORK</t>
        </is>
      </c>
      <c r="M2" s="2" t="inlineStr">
        <is>
          <t>POS MAC AMAZON.COM*NX6 SEATTLE WA</t>
        </is>
      </c>
      <c r="N2" s="2" t="inlineStr">
        <is>
          <t>POS MAC AMAZON.COM*9O5 SEATTLE WA</t>
        </is>
      </c>
      <c r="O2" s="2" t="inlineStr">
        <is>
          <t>POS MAC AMAZON.COM*SB8 SEATTLE WA</t>
        </is>
      </c>
      <c r="P2" s="2" t="inlineStr">
        <is>
          <t>NYS DTF PIT TAX PAYMNT</t>
        </is>
      </c>
      <c r="Q2" s="2" t="inlineStr">
        <is>
          <t>KINDERCARE PORTLAND OR</t>
        </is>
      </c>
      <c r="R2" s="2" t="inlineStr">
        <is>
          <t>AMAZON PRIME*ZH8618UZ3 AMZN.COM/BILL WA</t>
        </is>
      </c>
      <c r="S2" s="2" t="inlineStr">
        <is>
          <t>IRS USATAXPYMT</t>
        </is>
      </c>
      <c r="T2" s="2" t="inlineStr">
        <is>
          <t>TOTAL CREDIT</t>
        </is>
      </c>
      <c r="U2" s="2" t="inlineStr">
        <is>
          <t>DEBIT</t>
        </is>
      </c>
      <c r="V2" s="2" t="inlineStr">
        <is>
          <t>ENDING BALANCE</t>
        </is>
      </c>
    </row>
    <row r="3">
      <c r="A3" s="1" t="inlineStr">
        <is>
          <t>AUG</t>
        </is>
      </c>
      <c r="B3" s="3" t="n">
        <v>0</v>
      </c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3" t="n"/>
      <c r="P3" s="3" t="n"/>
      <c r="Q3" s="3" t="n"/>
      <c r="R3" s="3" t="n"/>
      <c r="S3" s="3" t="n"/>
      <c r="T3" s="3">
        <f>SUM(C3:S3)</f>
        <v/>
      </c>
      <c r="U3" s="3" t="n"/>
      <c r="V3" s="3">
        <f>B3+T3-U3</f>
        <v/>
      </c>
    </row>
    <row r="4">
      <c r="A4" s="1" t="inlineStr">
        <is>
          <t>SEP</t>
        </is>
      </c>
      <c r="B4" s="3">
        <f>S3</f>
        <v/>
      </c>
      <c r="C4" s="3" t="n"/>
      <c r="D4" s="3" t="n"/>
      <c r="E4" s="3" t="n"/>
      <c r="F4" s="3" t="n"/>
      <c r="G4" s="3" t="n"/>
      <c r="H4" s="3" t="n"/>
      <c r="I4" s="3" t="n"/>
      <c r="J4" s="3" t="n"/>
      <c r="K4" s="3" t="n"/>
      <c r="L4" s="3" t="n"/>
      <c r="M4" s="3" t="n"/>
      <c r="N4" s="3" t="n"/>
      <c r="O4" s="3" t="n"/>
      <c r="P4" s="3" t="n"/>
      <c r="Q4" s="3" t="n"/>
      <c r="R4" s="3" t="n"/>
      <c r="S4" s="3" t="n"/>
      <c r="T4" s="3">
        <f>SUM(C4:S4)</f>
        <v/>
      </c>
      <c r="U4" s="3" t="n"/>
      <c r="V4" s="3">
        <f>B4+T4-U4</f>
        <v/>
      </c>
    </row>
    <row r="5">
      <c r="A5" s="1" t="inlineStr">
        <is>
          <t>OCT</t>
        </is>
      </c>
      <c r="B5" s="3">
        <f>S4</f>
        <v/>
      </c>
      <c r="C5" s="3" t="n"/>
      <c r="D5" s="3" t="n"/>
      <c r="E5" s="3" t="n"/>
      <c r="F5" s="3" t="n"/>
      <c r="G5" s="3" t="n"/>
      <c r="H5" s="3" t="n"/>
      <c r="I5" s="3" t="n"/>
      <c r="J5" s="3" t="n"/>
      <c r="K5" s="3" t="n"/>
      <c r="L5" s="3" t="n"/>
      <c r="M5" s="3" t="n"/>
      <c r="N5" s="3" t="n"/>
      <c r="O5" s="3" t="n"/>
      <c r="P5" s="3" t="n"/>
      <c r="Q5" s="3" t="n"/>
      <c r="R5" s="3" t="n"/>
      <c r="S5" s="3" t="n"/>
      <c r="T5" s="3">
        <f>SUM(C5:S5)</f>
        <v/>
      </c>
      <c r="U5" s="3" t="n"/>
      <c r="V5" s="3">
        <f>B5+T5-U5</f>
        <v/>
      </c>
    </row>
    <row r="6">
      <c r="A6" s="1" t="inlineStr">
        <is>
          <t>NOV</t>
        </is>
      </c>
      <c r="B6" s="3">
        <f>S5</f>
        <v/>
      </c>
      <c r="C6" s="3" t="n"/>
      <c r="D6" s="3">
        <f>4000.00</f>
        <v/>
      </c>
      <c r="E6" s="3" t="n"/>
      <c r="F6" s="3" t="n"/>
      <c r="G6" s="3" t="n"/>
      <c r="H6" s="3" t="n"/>
      <c r="I6" s="3">
        <f>300.00</f>
        <v/>
      </c>
      <c r="J6" s="3">
        <f>350.00</f>
        <v/>
      </c>
      <c r="K6" s="3">
        <f>385.77+740.00</f>
        <v/>
      </c>
      <c r="L6" s="3">
        <f>1000.00+3200.00</f>
        <v/>
      </c>
      <c r="M6" s="3">
        <f>75.40</f>
        <v/>
      </c>
      <c r="N6" s="3">
        <f>26.57</f>
        <v/>
      </c>
      <c r="O6" s="3">
        <f>18.75</f>
        <v/>
      </c>
      <c r="P6" s="3">
        <f>200.00+200.00</f>
        <v/>
      </c>
      <c r="Q6" s="3">
        <f>490.00</f>
        <v/>
      </c>
      <c r="R6" s="3">
        <f>16.25</f>
        <v/>
      </c>
      <c r="S6" s="3">
        <f>800.00+800.00</f>
        <v/>
      </c>
      <c r="T6" s="3">
        <f>SUM(C6:S6)</f>
        <v/>
      </c>
      <c r="U6" s="3" t="n"/>
      <c r="V6" s="3">
        <f>B6+T6-U6</f>
        <v/>
      </c>
    </row>
    <row r="7">
      <c r="A7" s="1" t="inlineStr">
        <is>
          <t>DEC</t>
        </is>
      </c>
      <c r="B7" s="3">
        <f>S6</f>
        <v/>
      </c>
      <c r="C7" s="3" t="n"/>
      <c r="D7" s="3" t="n"/>
      <c r="E7" s="3" t="n"/>
      <c r="F7" s="3" t="n"/>
      <c r="G7" s="3" t="n"/>
      <c r="H7" s="3" t="n"/>
      <c r="I7" s="3" t="n"/>
      <c r="J7" s="3" t="n"/>
      <c r="K7" s="3" t="n"/>
      <c r="L7" s="3" t="n"/>
      <c r="M7" s="3" t="n"/>
      <c r="N7" s="3" t="n"/>
      <c r="O7" s="3" t="n"/>
      <c r="P7" s="3" t="n"/>
      <c r="Q7" s="3" t="n"/>
      <c r="R7" s="3" t="n"/>
      <c r="S7" s="3" t="n"/>
      <c r="T7" s="3">
        <f>SUM(C7:S7)</f>
        <v/>
      </c>
      <c r="U7" s="3" t="n"/>
      <c r="V7" s="3">
        <f>B7+T7-U7</f>
        <v/>
      </c>
    </row>
    <row r="8">
      <c r="A8" s="1" t="inlineStr">
        <is>
          <t>JAN</t>
        </is>
      </c>
      <c r="B8" s="3">
        <f>S7</f>
        <v/>
      </c>
      <c r="C8" s="3" t="n"/>
      <c r="D8" s="3" t="n"/>
      <c r="E8" s="3" t="n"/>
      <c r="F8" s="3" t="n"/>
      <c r="G8" s="3" t="n"/>
      <c r="H8" s="3" t="n"/>
      <c r="I8" s="3" t="n"/>
      <c r="J8" s="3" t="n"/>
      <c r="K8" s="3" t="n"/>
      <c r="L8" s="3" t="n"/>
      <c r="M8" s="3" t="n"/>
      <c r="N8" s="3" t="n"/>
      <c r="O8" s="3" t="n"/>
      <c r="P8" s="3" t="n"/>
      <c r="Q8" s="3" t="n"/>
      <c r="R8" s="3" t="n"/>
      <c r="S8" s="3" t="n"/>
      <c r="T8" s="3">
        <f>SUM(C8:S8)</f>
        <v/>
      </c>
      <c r="U8" s="3" t="n"/>
      <c r="V8" s="3">
        <f>B8+T8-U8</f>
        <v/>
      </c>
    </row>
    <row r="9">
      <c r="A9" s="1" t="inlineStr">
        <is>
          <t>FEB</t>
        </is>
      </c>
      <c r="B9" s="3">
        <f>S8</f>
        <v/>
      </c>
      <c r="C9" s="3" t="n"/>
      <c r="D9" s="3" t="n"/>
      <c r="E9" s="3" t="n"/>
      <c r="F9" s="3" t="n"/>
      <c r="G9" s="3" t="n"/>
      <c r="H9" s="3" t="n"/>
      <c r="I9" s="3" t="n"/>
      <c r="J9" s="3" t="n"/>
      <c r="K9" s="3" t="n"/>
      <c r="L9" s="3" t="n"/>
      <c r="M9" s="3" t="n"/>
      <c r="N9" s="3" t="n"/>
      <c r="O9" s="3" t="n"/>
      <c r="P9" s="3" t="n"/>
      <c r="Q9" s="3" t="n"/>
      <c r="R9" s="3" t="n"/>
      <c r="S9" s="3" t="n"/>
      <c r="T9" s="3">
        <f>SUM(C9:S9)</f>
        <v/>
      </c>
      <c r="U9" s="3" t="n"/>
      <c r="V9" s="3">
        <f>B9+T9-U9</f>
        <v/>
      </c>
    </row>
    <row r="10">
      <c r="A10" s="1" t="inlineStr">
        <is>
          <t>MAR</t>
        </is>
      </c>
      <c r="B10" s="3">
        <f>S9</f>
        <v/>
      </c>
      <c r="C10" s="3" t="n"/>
      <c r="D10" s="3" t="n"/>
      <c r="E10" s="3" t="n"/>
      <c r="F10" s="3" t="n"/>
      <c r="G10" s="3" t="n"/>
      <c r="H10" s="3" t="n"/>
      <c r="I10" s="3" t="n"/>
      <c r="J10" s="3" t="n"/>
      <c r="K10" s="3" t="n"/>
      <c r="L10" s="3" t="n"/>
      <c r="M10" s="3" t="n"/>
      <c r="N10" s="3" t="n"/>
      <c r="O10" s="3" t="n"/>
      <c r="P10" s="3" t="n"/>
      <c r="Q10" s="3" t="n"/>
      <c r="R10" s="3" t="n"/>
      <c r="S10" s="3" t="n"/>
      <c r="T10" s="3">
        <f>SUM(C10:S10)</f>
        <v/>
      </c>
      <c r="U10" s="3" t="n"/>
      <c r="V10" s="3">
        <f>B10+T10-U10</f>
        <v/>
      </c>
    </row>
    <row r="11">
      <c r="A11" s="1" t="inlineStr">
        <is>
          <t>APR</t>
        </is>
      </c>
      <c r="B11" s="3">
        <f>S10</f>
        <v/>
      </c>
      <c r="C11" s="3" t="n"/>
      <c r="D11" s="3" t="n"/>
      <c r="E11" s="3" t="n"/>
      <c r="F11" s="3" t="n"/>
      <c r="G11" s="3" t="n"/>
      <c r="H11" s="3" t="n"/>
      <c r="I11" s="3" t="n"/>
      <c r="J11" s="3" t="n"/>
      <c r="K11" s="3" t="n"/>
      <c r="L11" s="3" t="n"/>
      <c r="M11" s="3" t="n"/>
      <c r="N11" s="3" t="n"/>
      <c r="O11" s="3" t="n"/>
      <c r="P11" s="3" t="n"/>
      <c r="Q11" s="3" t="n"/>
      <c r="R11" s="3" t="n"/>
      <c r="S11" s="3" t="n"/>
      <c r="T11" s="3">
        <f>SUM(C11:S11)</f>
        <v/>
      </c>
      <c r="U11" s="3" t="n"/>
      <c r="V11" s="3">
        <f>B11+T11-U11</f>
        <v/>
      </c>
    </row>
    <row r="12">
      <c r="A12" s="1" t="inlineStr">
        <is>
          <t>MAY</t>
        </is>
      </c>
      <c r="B12" s="3">
        <f>S11</f>
        <v/>
      </c>
      <c r="C12" s="3" t="n"/>
      <c r="D12" s="3" t="n"/>
      <c r="E12" s="3" t="n"/>
      <c r="F12" s="3" t="n"/>
      <c r="G12" s="3" t="n"/>
      <c r="H12" s="3" t="n"/>
      <c r="I12" s="3" t="n"/>
      <c r="J12" s="3" t="n"/>
      <c r="K12" s="3" t="n"/>
      <c r="L12" s="3" t="n"/>
      <c r="M12" s="3" t="n"/>
      <c r="N12" s="3" t="n"/>
      <c r="O12" s="3" t="n"/>
      <c r="P12" s="3" t="n"/>
      <c r="Q12" s="3" t="n"/>
      <c r="R12" s="3" t="n"/>
      <c r="S12" s="3" t="n"/>
      <c r="T12" s="3">
        <f>SUM(C12:S12)</f>
        <v/>
      </c>
      <c r="U12" s="3" t="n"/>
      <c r="V12" s="3">
        <f>B12+T12-U12</f>
        <v/>
      </c>
    </row>
    <row r="13">
      <c r="A13" s="1" t="inlineStr">
        <is>
          <t>JUN</t>
        </is>
      </c>
      <c r="B13" s="3">
        <f>S12</f>
        <v/>
      </c>
      <c r="C13" s="3" t="n"/>
      <c r="D13" s="3" t="n"/>
      <c r="E13" s="3" t="n"/>
      <c r="F13" s="3" t="n"/>
      <c r="G13" s="3" t="n"/>
      <c r="H13" s="3" t="n"/>
      <c r="I13" s="3" t="n"/>
      <c r="J13" s="3" t="n"/>
      <c r="K13" s="3" t="n"/>
      <c r="L13" s="3" t="n"/>
      <c r="M13" s="3" t="n"/>
      <c r="N13" s="3" t="n"/>
      <c r="O13" s="3" t="n"/>
      <c r="P13" s="3" t="n"/>
      <c r="Q13" s="3" t="n"/>
      <c r="R13" s="3" t="n"/>
      <c r="S13" s="3" t="n"/>
      <c r="T13" s="3">
        <f>SUM(C13:S13)</f>
        <v/>
      </c>
      <c r="U13" s="3" t="n"/>
      <c r="V13" s="3">
        <f>B13+T13-U13</f>
        <v/>
      </c>
    </row>
    <row r="14">
      <c r="A14" s="1" t="inlineStr">
        <is>
          <t>JUL</t>
        </is>
      </c>
      <c r="B14" s="3">
        <f>S13</f>
        <v/>
      </c>
      <c r="C14" s="3" t="n"/>
      <c r="D14" s="3" t="n"/>
      <c r="E14" s="3" t="n"/>
      <c r="F14" s="3" t="n"/>
      <c r="G14" s="3" t="n"/>
      <c r="H14" s="3" t="n"/>
      <c r="I14" s="3" t="n"/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  <c r="S14" s="3" t="n"/>
      <c r="T14" s="3">
        <f>SUM(C14:S14)</f>
        <v/>
      </c>
      <c r="U14" s="3" t="n"/>
      <c r="V14" s="3">
        <f>B14+T14-U14</f>
        <v/>
      </c>
    </row>
    <row r="15">
      <c r="A15" s="1" t="inlineStr">
        <is>
          <t>TOTAL</t>
        </is>
      </c>
      <c r="B15" s="3" t="n"/>
      <c r="C15" s="3">
        <f>SUM(C3:C14)</f>
        <v/>
      </c>
      <c r="D15" s="3">
        <f>SUM(D3:D14)</f>
        <v/>
      </c>
      <c r="E15" s="3">
        <f>SUM(E3:E14)</f>
        <v/>
      </c>
      <c r="F15" s="3">
        <f>SUM(F3:F14)</f>
        <v/>
      </c>
      <c r="G15" s="3">
        <f>SUM(G3:G14)</f>
        <v/>
      </c>
      <c r="H15" s="3">
        <f>SUM(H3:H14)</f>
        <v/>
      </c>
      <c r="I15" s="3">
        <f>SUM(I3:I14)</f>
        <v/>
      </c>
      <c r="J15" s="3">
        <f>SUM(J3:J14)</f>
        <v/>
      </c>
      <c r="K15" s="3">
        <f>SUM(K3:K14)</f>
        <v/>
      </c>
      <c r="L15" s="3">
        <f>SUM(L3:L14)</f>
        <v/>
      </c>
      <c r="M15" s="3">
        <f>SUM(M3:M14)</f>
        <v/>
      </c>
      <c r="N15" s="3">
        <f>SUM(N3:N14)</f>
        <v/>
      </c>
      <c r="O15" s="3">
        <f>SUM(O3:O14)</f>
        <v/>
      </c>
      <c r="P15" s="3">
        <f>SUM(P3:P14)</f>
        <v/>
      </c>
      <c r="Q15" s="3">
        <f>SUM(Q3:Q14)</f>
        <v/>
      </c>
      <c r="R15" s="3">
        <f>SUM(R3:R14)</f>
        <v/>
      </c>
      <c r="S15" s="3">
        <f>SUM(S3:S14)</f>
        <v/>
      </c>
      <c r="T15" s="3">
        <f>SUM(T3:T14)</f>
        <v/>
      </c>
      <c r="U15" s="3">
        <f>SUM(U3:U14)</f>
        <v/>
      </c>
      <c r="V15" s="3">
        <f>V14</f>
        <v/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41"/>
  <sheetViews>
    <sheetView tabSelected="1" workbookViewId="0">
      <selection activeCell="A1" sqref="A1:XFD1048576"/>
    </sheetView>
  </sheetViews>
  <sheetFormatPr baseColWidth="8" defaultRowHeight="15"/>
  <cols>
    <col width="50.7109375" bestFit="1" customWidth="1" min="1" max="1"/>
    <col width="5.140625" bestFit="1" customWidth="1" min="2" max="2"/>
    <col width="5" bestFit="1" customWidth="1" min="3" max="4"/>
    <col width="5.28515625" bestFit="1" customWidth="1" min="5" max="5"/>
    <col width="8.140625" bestFit="1" customWidth="1" min="6" max="6"/>
    <col width="5" bestFit="1" customWidth="1" min="7" max="8"/>
    <col width="5.5703125" bestFit="1" customWidth="1" min="9" max="9"/>
    <col width="5" bestFit="1" customWidth="1" min="10" max="10"/>
    <col width="5.42578125" bestFit="1" customWidth="1" min="11" max="11"/>
    <col width="5" bestFit="1" customWidth="1" min="12" max="13"/>
    <col width="8.140625" bestFit="1" customWidth="1" min="14" max="14"/>
    <col width="15.5703125" bestFit="1" customWidth="1" min="15" max="15"/>
  </cols>
  <sheetData>
    <row r="1">
      <c r="A1" s="2" t="inlineStr">
        <is>
          <t>Merchant</t>
        </is>
      </c>
      <c r="B1" s="2" t="inlineStr">
        <is>
          <t>AUG</t>
        </is>
      </c>
      <c r="C1" s="2" t="inlineStr">
        <is>
          <t>SEP</t>
        </is>
      </c>
      <c r="D1" s="2" t="inlineStr">
        <is>
          <t>OCT</t>
        </is>
      </c>
      <c r="E1" s="2" t="inlineStr">
        <is>
          <t>NOV</t>
        </is>
      </c>
      <c r="F1" s="2" t="inlineStr">
        <is>
          <t>DEC</t>
        </is>
      </c>
      <c r="G1" s="2" t="inlineStr">
        <is>
          <t>JAN</t>
        </is>
      </c>
      <c r="H1" s="2" t="inlineStr">
        <is>
          <t>FEB</t>
        </is>
      </c>
      <c r="I1" s="2" t="inlineStr">
        <is>
          <t>MAR</t>
        </is>
      </c>
      <c r="J1" s="2" t="inlineStr">
        <is>
          <t>APR</t>
        </is>
      </c>
      <c r="K1" s="2" t="inlineStr">
        <is>
          <t>MAY</t>
        </is>
      </c>
      <c r="L1" s="2" t="inlineStr">
        <is>
          <t>JUN</t>
        </is>
      </c>
      <c r="M1" s="2" t="inlineStr">
        <is>
          <t>JUL</t>
        </is>
      </c>
      <c r="N1" s="2" t="inlineStr">
        <is>
          <t>Total</t>
        </is>
      </c>
      <c r="O1" s="2" t="inlineStr">
        <is>
          <t>Category</t>
        </is>
      </c>
    </row>
    <row r="2">
      <c r="A2" s="1" t="inlineStr">
        <is>
          <t>434 / Nys Commission</t>
        </is>
      </c>
      <c r="B2" s="3" t="n"/>
      <c r="C2" s="3" t="n"/>
      <c r="D2" s="3" t="n"/>
      <c r="E2" s="3" t="n"/>
      <c r="F2" s="3" t="n"/>
      <c r="G2" s="3" t="n"/>
      <c r="H2" s="3" t="n"/>
      <c r="I2" s="3" t="n"/>
      <c r="J2" s="3" t="n"/>
      <c r="K2" s="3" t="n"/>
      <c r="L2" s="3" t="n"/>
      <c r="M2" s="3" t="n"/>
      <c r="N2" s="3">
        <f>SUM(B2:M2)</f>
        <v/>
      </c>
      <c r="O2" s="1" t="inlineStr">
        <is>
          <t>GERCORY</t>
        </is>
      </c>
    </row>
    <row r="3">
      <c r="A3" s="1" t="inlineStr">
        <is>
          <t>Amazon Prime*Zh8618Uz3 Amzn.Com/Bill WA</t>
        </is>
      </c>
      <c r="B3" s="3" t="n"/>
      <c r="C3" s="3" t="n"/>
      <c r="D3" s="3" t="n"/>
      <c r="E3" s="3" t="n"/>
      <c r="F3" s="3" t="n"/>
      <c r="G3" s="3" t="n"/>
      <c r="H3" s="3" t="n"/>
      <c r="I3" s="3">
        <f>16.25</f>
        <v/>
      </c>
      <c r="J3" s="3" t="n"/>
      <c r="K3" s="3" t="n"/>
      <c r="L3" s="3" t="n"/>
      <c r="M3" s="3" t="n"/>
      <c r="N3" s="3">
        <f>SUM(B3:M3)</f>
        <v/>
      </c>
      <c r="O3" s="1" t="inlineStr">
        <is>
          <t>GERCORY</t>
        </is>
      </c>
    </row>
    <row r="4">
      <c r="A4" s="1" t="inlineStr">
        <is>
          <t>Amazon.Com*N22Fjseattlewa US</t>
        </is>
      </c>
      <c r="B4" s="3" t="n"/>
      <c r="C4" s="3" t="n"/>
      <c r="D4" s="3" t="n"/>
      <c r="E4" s="3" t="n"/>
      <c r="F4" s="3" t="n"/>
      <c r="G4" s="3" t="n"/>
      <c r="H4" s="3" t="n"/>
      <c r="I4" s="3" t="n"/>
      <c r="J4" s="3" t="n"/>
      <c r="K4" s="3" t="n"/>
      <c r="L4" s="3" t="n"/>
      <c r="M4" s="3" t="n"/>
      <c r="N4" s="3">
        <f>SUM(B4:M4)</f>
        <v/>
      </c>
      <c r="O4" s="1" t="inlineStr">
        <is>
          <t>GERCORY</t>
        </is>
      </c>
    </row>
    <row r="5">
      <c r="A5" s="1" t="inlineStr">
        <is>
          <t>Amazon.Comseattlewa US</t>
        </is>
      </c>
      <c r="B5" s="3" t="n"/>
      <c r="C5" s="3" t="n"/>
      <c r="D5" s="3" t="n"/>
      <c r="E5" s="3" t="n"/>
      <c r="F5" s="3" t="n"/>
      <c r="G5" s="3" t="n"/>
      <c r="H5" s="3" t="n"/>
      <c r="I5" s="3" t="n"/>
      <c r="J5" s="3" t="n"/>
      <c r="K5" s="3" t="n"/>
      <c r="L5" s="3" t="n"/>
      <c r="M5" s="3" t="n"/>
      <c r="N5" s="3">
        <f>SUM(B5:M5)</f>
        <v/>
      </c>
      <c r="O5" s="1" t="inlineStr">
        <is>
          <t>GERCORY</t>
        </is>
      </c>
    </row>
    <row r="6">
      <c r="A6" s="1" t="inlineStr">
        <is>
          <t>Amex Epayment ACH Pmt</t>
        </is>
      </c>
      <c r="B6" s="3" t="n"/>
      <c r="C6" s="3" t="n"/>
      <c r="D6" s="3" t="n"/>
      <c r="E6" s="3" t="n"/>
      <c r="F6" s="3" t="n"/>
      <c r="G6" s="3" t="n"/>
      <c r="H6" s="3" t="n"/>
      <c r="I6" s="3" t="n"/>
      <c r="J6" s="3" t="n"/>
      <c r="K6" s="3" t="n"/>
      <c r="L6" s="3" t="n"/>
      <c r="M6" s="3" t="n"/>
      <c r="N6" s="3">
        <f>SUM(B6:M6)</f>
        <v/>
      </c>
      <c r="O6" s="1" t="inlineStr">
        <is>
          <t>GERCORY</t>
        </is>
      </c>
    </row>
    <row r="7">
      <c r="A7" s="1" t="inlineStr">
        <is>
          <t>Arrow Bank Na Web Pmt</t>
        </is>
      </c>
      <c r="B7" s="3" t="n"/>
      <c r="C7" s="3" t="n"/>
      <c r="D7" s="3" t="n"/>
      <c r="E7" s="3" t="n"/>
      <c r="F7" s="3" t="n"/>
      <c r="G7" s="3" t="n"/>
      <c r="H7" s="3" t="n"/>
      <c r="I7" s="3" t="n"/>
      <c r="J7" s="3" t="n"/>
      <c r="K7" s="3" t="n"/>
      <c r="L7" s="3" t="n"/>
      <c r="M7" s="3" t="n"/>
      <c r="N7" s="3">
        <f>SUM(B7:M7)</f>
        <v/>
      </c>
      <c r="O7" s="1" t="inlineStr">
        <is>
          <t>GERCORY</t>
        </is>
      </c>
    </row>
    <row r="8">
      <c r="A8" s="1" t="inlineStr">
        <is>
          <t>Bill Pay:Associated Mutual 210061 Ubq1P6Kr</t>
        </is>
      </c>
      <c r="B8" s="3" t="n"/>
      <c r="C8" s="3" t="n"/>
      <c r="D8" s="3" t="n"/>
      <c r="E8" s="3" t="n"/>
      <c r="F8" s="3" t="n"/>
      <c r="G8" s="3" t="n"/>
      <c r="H8" s="3" t="n"/>
      <c r="I8" s="3" t="n"/>
      <c r="J8" s="3" t="n"/>
      <c r="K8" s="3" t="n"/>
      <c r="L8" s="3" t="n"/>
      <c r="M8" s="3" t="n"/>
      <c r="N8" s="3">
        <f>SUM(B8:M8)</f>
        <v/>
      </c>
      <c r="O8" s="1" t="inlineStr">
        <is>
          <t>GERCORY</t>
        </is>
      </c>
    </row>
    <row r="9">
      <c r="A9" s="1" t="inlineStr">
        <is>
          <t>Bill Pay:New York State Ins 237224 4Bq1P6Kr</t>
        </is>
      </c>
      <c r="B9" s="3" t="n"/>
      <c r="C9" s="3" t="n"/>
      <c r="D9" s="3" t="n"/>
      <c r="E9" s="3" t="n"/>
      <c r="F9" s="3" t="n"/>
      <c r="G9" s="3" t="n"/>
      <c r="H9" s="3" t="n"/>
      <c r="I9" s="3" t="n"/>
      <c r="J9" s="3" t="n"/>
      <c r="K9" s="3" t="n"/>
      <c r="L9" s="3" t="n"/>
      <c r="M9" s="3" t="n"/>
      <c r="N9" s="3">
        <f>SUM(B9:M9)</f>
        <v/>
      </c>
      <c r="O9" s="1" t="inlineStr">
        <is>
          <t>OFFICE EXPENSE</t>
        </is>
      </c>
    </row>
    <row r="10">
      <c r="A10" s="1" t="inlineStr">
        <is>
          <t>Bill Pay:Orange &amp; Rockland 136130 6Bq1P6Kr</t>
        </is>
      </c>
      <c r="B10" s="3" t="n"/>
      <c r="C10" s="3" t="n"/>
      <c r="D10" s="3" t="n"/>
      <c r="E10" s="3" t="n"/>
      <c r="F10" s="3" t="n"/>
      <c r="G10" s="3" t="n"/>
      <c r="H10" s="3" t="n"/>
      <c r="I10" s="3">
        <f>350.00</f>
        <v/>
      </c>
      <c r="J10" s="3" t="n"/>
      <c r="K10" s="3" t="n"/>
      <c r="L10" s="3" t="n"/>
      <c r="M10" s="3" t="n"/>
      <c r="N10" s="3">
        <f>SUM(B10:M10)</f>
        <v/>
      </c>
      <c r="O10" s="1" t="inlineStr">
        <is>
          <t>OFFICE EXPENSE</t>
        </is>
      </c>
    </row>
    <row r="11">
      <c r="A11" s="1" t="inlineStr">
        <is>
          <t>Bill Pay:Orange &amp; Rockland 879293 5Bq1P6Kr</t>
        </is>
      </c>
      <c r="B11" s="3" t="n"/>
      <c r="C11" s="3" t="n"/>
      <c r="D11" s="3" t="n"/>
      <c r="E11" s="3" t="n"/>
      <c r="F11" s="3" t="n"/>
      <c r="G11" s="3" t="n"/>
      <c r="H11" s="3" t="n"/>
      <c r="I11" s="3" t="n"/>
      <c r="J11" s="3" t="n"/>
      <c r="K11" s="3" t="n"/>
      <c r="L11" s="3" t="n"/>
      <c r="M11" s="3" t="n"/>
      <c r="N11" s="3">
        <f>SUM(B11:M11)</f>
        <v/>
      </c>
      <c r="O11" s="1" t="inlineStr">
        <is>
          <t>OFFICE EXPENSE</t>
        </is>
      </c>
    </row>
    <row r="12">
      <c r="A12" s="1" t="inlineStr">
        <is>
          <t>Bill Pay:Veolia Water New Y 200045 6Bu1T6Kr</t>
        </is>
      </c>
      <c r="B12" s="3" t="n"/>
      <c r="C12" s="3" t="n"/>
      <c r="D12" s="3" t="n"/>
      <c r="E12" s="3" t="n"/>
      <c r="F12" s="3" t="n"/>
      <c r="G12" s="3" t="n"/>
      <c r="H12" s="3" t="n"/>
      <c r="I12" s="3">
        <f>300.00</f>
        <v/>
      </c>
      <c r="J12" s="3" t="n"/>
      <c r="K12" s="3" t="n"/>
      <c r="L12" s="3" t="n"/>
      <c r="M12" s="3" t="n"/>
      <c r="N12" s="3">
        <f>SUM(B12:M12)</f>
        <v/>
      </c>
      <c r="O12" s="1" t="inlineStr">
        <is>
          <t>OFFICE EXPENSE</t>
        </is>
      </c>
    </row>
    <row r="13">
      <c r="A13" s="1" t="inlineStr">
        <is>
          <t>Bill Pay:Veolia Water New Y 200054 Hbu1T6Kr</t>
        </is>
      </c>
      <c r="B13" s="3" t="n"/>
      <c r="C13" s="3" t="n"/>
      <c r="D13" s="3" t="n"/>
      <c r="E13" s="3" t="n"/>
      <c r="F13" s="3" t="n"/>
      <c r="G13" s="3" t="n"/>
      <c r="H13" s="3" t="n"/>
      <c r="I13" s="3" t="n"/>
      <c r="J13" s="3" t="n"/>
      <c r="K13" s="3" t="n"/>
      <c r="L13" s="3" t="n"/>
      <c r="M13" s="3" t="n"/>
      <c r="N13" s="3">
        <f>SUM(B13:M13)</f>
        <v/>
      </c>
      <c r="O13" s="1" t="inlineStr">
        <is>
          <t>OFFICE EXPENSE</t>
        </is>
      </c>
    </row>
    <row r="14">
      <c r="A14" s="1" t="inlineStr">
        <is>
          <t>Citi Card Onlinepayment</t>
        </is>
      </c>
      <c r="B14" s="3" t="n"/>
      <c r="C14" s="3" t="n"/>
      <c r="D14" s="3" t="n"/>
      <c r="E14" s="3" t="n"/>
      <c r="F14" s="3" t="n"/>
      <c r="G14" s="3" t="n"/>
      <c r="H14" s="3" t="n"/>
      <c r="I14" s="3" t="n"/>
      <c r="J14" s="3" t="n"/>
      <c r="K14" s="3" t="n"/>
      <c r="L14" s="3" t="n"/>
      <c r="M14" s="3" t="n"/>
      <c r="N14" s="3">
        <f>SUM(B14:M14)</f>
        <v/>
      </c>
      <c r="O14" s="1" t="inlineStr">
        <is>
          <t>OFFICE EXPENSE</t>
        </is>
      </c>
    </row>
    <row r="15">
      <c r="A15" s="1" t="inlineStr">
        <is>
          <t>Credit One Bank Payment</t>
        </is>
      </c>
      <c r="B15" s="3" t="n"/>
      <c r="C15" s="3" t="n"/>
      <c r="D15" s="3" t="n"/>
      <c r="E15" s="3" t="n"/>
      <c r="F15" s="3" t="n"/>
      <c r="G15" s="3" t="n"/>
      <c r="H15" s="3" t="n"/>
      <c r="I15" s="3" t="n"/>
      <c r="J15" s="3" t="n"/>
      <c r="K15" s="3" t="n"/>
      <c r="L15" s="3" t="n"/>
      <c r="M15" s="3" t="n"/>
      <c r="N15" s="3">
        <f>SUM(B15:M15)</f>
        <v/>
      </c>
      <c r="O15" s="1" t="inlineStr">
        <is>
          <t>OFFICE EXPENSE</t>
        </is>
      </c>
    </row>
    <row r="16">
      <c r="A16" s="1" t="inlineStr">
        <is>
          <t>Discover Bank Net/Mobile</t>
        </is>
      </c>
      <c r="B16" s="3" t="n"/>
      <c r="C16" s="3" t="n"/>
      <c r="D16" s="3" t="n"/>
      <c r="E16" s="3" t="n"/>
      <c r="F16" s="3" t="n"/>
      <c r="G16" s="3" t="n"/>
      <c r="H16" s="3" t="n"/>
      <c r="I16" s="3" t="n"/>
      <c r="J16" s="3" t="n"/>
      <c r="K16" s="3" t="n"/>
      <c r="L16" s="3" t="n"/>
      <c r="M16" s="3" t="n"/>
      <c r="N16" s="3">
        <f>SUM(B16:M16)</f>
        <v/>
      </c>
      <c r="O16" s="1" t="inlineStr">
        <is>
          <t>OFFICE EXPENSE</t>
        </is>
      </c>
    </row>
    <row r="17">
      <c r="A17" s="1" t="inlineStr">
        <is>
          <t>FIVE GUYS 1522 QSR 000001522 TULSA OK</t>
        </is>
      </c>
      <c r="B17" s="3" t="n"/>
      <c r="C17" s="3" t="n"/>
      <c r="D17" s="3" t="n"/>
      <c r="E17" s="3" t="n"/>
      <c r="F17" s="3" t="n"/>
      <c r="G17" s="3" t="n"/>
      <c r="H17" s="3" t="n"/>
      <c r="I17" s="3" t="n"/>
      <c r="J17" s="3" t="n"/>
      <c r="K17" s="3" t="n"/>
      <c r="L17" s="3" t="n"/>
      <c r="M17" s="3" t="n"/>
      <c r="N17" s="3">
        <f>SUM(B17:M17)</f>
        <v/>
      </c>
      <c r="O17" s="1" t="inlineStr">
        <is>
          <t>OFFICE EXPENSE</t>
        </is>
      </c>
    </row>
    <row r="18">
      <c r="A18" s="1" t="inlineStr">
        <is>
          <t>Huntington Banksil Payment</t>
        </is>
      </c>
      <c r="B18" s="3" t="n"/>
      <c r="C18" s="3" t="n"/>
      <c r="D18" s="3" t="n"/>
      <c r="E18" s="3" t="n"/>
      <c r="F18" s="3" t="n"/>
      <c r="G18" s="3" t="n"/>
      <c r="H18" s="3" t="n"/>
      <c r="I18" s="3" t="n"/>
      <c r="J18" s="3" t="n"/>
      <c r="K18" s="3" t="n"/>
      <c r="L18" s="3" t="n"/>
      <c r="M18" s="3" t="n"/>
      <c r="N18" s="3">
        <f>SUM(B18:M18)</f>
        <v/>
      </c>
      <c r="O18" s="1" t="inlineStr">
        <is>
          <t>MEALS</t>
        </is>
      </c>
    </row>
    <row r="19">
      <c r="A19" s="1" t="inlineStr">
        <is>
          <t>Internet Trf To Client-Added Transfer Account</t>
        </is>
      </c>
      <c r="B19" s="3" t="n"/>
      <c r="C19" s="3" t="n"/>
      <c r="D19" s="3" t="n"/>
      <c r="E19" s="3" t="n"/>
      <c r="F19" s="3" t="n"/>
      <c r="G19" s="3" t="n"/>
      <c r="H19" s="3" t="n"/>
      <c r="I19" s="3">
        <f>385.77+740.00</f>
        <v/>
      </c>
      <c r="J19" s="3" t="n"/>
      <c r="K19" s="3" t="n"/>
      <c r="L19" s="3" t="n"/>
      <c r="M19" s="3" t="n"/>
      <c r="N19" s="3">
        <f>SUM(B19:M19)</f>
        <v/>
      </c>
      <c r="O19" s="1" t="inlineStr">
        <is>
          <t>MEALS</t>
        </is>
      </c>
    </row>
    <row r="20">
      <c r="A20" s="1" t="inlineStr">
        <is>
          <t>Irs Usataxpymt</t>
        </is>
      </c>
      <c r="B20" s="3" t="n"/>
      <c r="C20" s="3" t="n"/>
      <c r="D20" s="3" t="n"/>
      <c r="E20" s="3" t="n"/>
      <c r="F20" s="3" t="n"/>
      <c r="G20" s="3" t="n"/>
      <c r="H20" s="3" t="n"/>
      <c r="I20" s="3">
        <f>800.00+800.00</f>
        <v/>
      </c>
      <c r="J20" s="3" t="n"/>
      <c r="K20" s="3" t="n"/>
      <c r="L20" s="3" t="n"/>
      <c r="M20" s="3" t="n"/>
      <c r="N20" s="3">
        <f>SUM(B20:M20)</f>
        <v/>
      </c>
      <c r="O20" s="1" t="inlineStr">
        <is>
          <t>MEALS</t>
        </is>
      </c>
    </row>
    <row r="21">
      <c r="A21" s="1" t="inlineStr">
        <is>
          <t>Kindercare Portland OR</t>
        </is>
      </c>
      <c r="B21" s="3" t="n"/>
      <c r="C21" s="3" t="n"/>
      <c r="D21" s="3" t="n"/>
      <c r="E21" s="3" t="n"/>
      <c r="F21" s="3" t="n"/>
      <c r="G21" s="3" t="n"/>
      <c r="H21" s="3" t="n"/>
      <c r="I21" s="3">
        <f>490.00</f>
        <v/>
      </c>
      <c r="J21" s="3" t="n"/>
      <c r="K21" s="3" t="n"/>
      <c r="L21" s="3" t="n"/>
      <c r="M21" s="3" t="n"/>
      <c r="N21" s="3">
        <f>SUM(B21:M21)</f>
        <v/>
      </c>
      <c r="O21" s="1" t="inlineStr">
        <is>
          <t>MEALS</t>
        </is>
      </c>
    </row>
    <row r="22">
      <c r="A22" s="1" t="inlineStr">
        <is>
          <t>No1 Sushi 88 Corkbbo ACH</t>
        </is>
      </c>
      <c r="B22" s="3" t="n"/>
      <c r="C22" s="3" t="n"/>
      <c r="D22" s="3" t="n"/>
      <c r="E22" s="3" t="n"/>
      <c r="F22" s="3" t="n"/>
      <c r="G22" s="3" t="n"/>
      <c r="H22" s="3" t="n"/>
      <c r="I22" s="3">
        <f>4000.00</f>
        <v/>
      </c>
      <c r="J22" s="3" t="n"/>
      <c r="K22" s="3" t="n"/>
      <c r="L22" s="3" t="n"/>
      <c r="M22" s="3" t="n"/>
      <c r="N22" s="3">
        <f>SUM(B22:M22)</f>
        <v/>
      </c>
      <c r="O22" s="1" t="inlineStr">
        <is>
          <t>MEALS</t>
        </is>
      </c>
    </row>
    <row r="23">
      <c r="A23" s="1" t="inlineStr">
        <is>
          <t>NORDSTROM DIRECT http://shop.nordstrom WA</t>
        </is>
      </c>
      <c r="B23" s="3" t="n"/>
      <c r="C23" s="3" t="n"/>
      <c r="D23" s="3" t="n"/>
      <c r="E23" s="3" t="n"/>
      <c r="F23" s="3" t="n"/>
      <c r="G23" s="3" t="n"/>
      <c r="H23" s="3" t="n"/>
      <c r="I23" s="3" t="n"/>
      <c r="J23" s="3" t="n"/>
      <c r="K23" s="3" t="n"/>
      <c r="L23" s="3" t="n"/>
      <c r="M23" s="3" t="n"/>
      <c r="N23" s="3">
        <f>SUM(B23:M23)</f>
        <v/>
      </c>
      <c r="O23" s="1" t="inlineStr">
        <is>
          <t>MEALS</t>
        </is>
      </c>
    </row>
    <row r="24">
      <c r="A24" s="1" t="inlineStr">
        <is>
          <t>Nys Dtf Pit Tax Paymnt</t>
        </is>
      </c>
      <c r="B24" s="3" t="n"/>
      <c r="C24" s="3" t="n"/>
      <c r="D24" s="3" t="n"/>
      <c r="E24" s="3" t="n"/>
      <c r="F24" s="3" t="n"/>
      <c r="G24" s="3" t="n"/>
      <c r="H24" s="3" t="n"/>
      <c r="I24" s="3">
        <f>200.00+200.00</f>
        <v/>
      </c>
      <c r="J24" s="3" t="n"/>
      <c r="K24" s="3" t="n"/>
      <c r="L24" s="3" t="n"/>
      <c r="M24" s="3" t="n"/>
      <c r="N24" s="3">
        <f>SUM(B24:M24)</f>
        <v/>
      </c>
      <c r="O24" s="1" t="inlineStr">
        <is>
          <t>MEALS</t>
        </is>
      </c>
    </row>
    <row r="25">
      <c r="A25" s="1" t="inlineStr">
        <is>
          <t>PANDA EXPRESS TACOMA WA</t>
        </is>
      </c>
      <c r="B25" s="3" t="n"/>
      <c r="C25" s="3" t="n"/>
      <c r="D25" s="3" t="n"/>
      <c r="E25" s="3" t="n"/>
      <c r="F25" s="3" t="n"/>
      <c r="G25" s="3" t="n"/>
      <c r="H25" s="3" t="n"/>
      <c r="I25" s="3" t="n"/>
      <c r="J25" s="3" t="n"/>
      <c r="K25" s="3" t="n"/>
      <c r="L25" s="3" t="n"/>
      <c r="M25" s="3" t="n"/>
      <c r="N25" s="3">
        <f>SUM(B25:M25)</f>
        <v/>
      </c>
      <c r="O25" s="1" t="inlineStr">
        <is>
          <t>MEALS</t>
        </is>
      </c>
    </row>
    <row r="26">
      <c r="A26" s="1" t="inlineStr">
        <is>
          <t>Paypal Inst Xfer</t>
        </is>
      </c>
      <c r="B26" s="3" t="n"/>
      <c r="C26" s="3" t="n"/>
      <c r="D26" s="3" t="n"/>
      <c r="E26" s="3" t="n"/>
      <c r="F26" s="3" t="n"/>
      <c r="G26" s="3" t="n"/>
      <c r="H26" s="3" t="n"/>
      <c r="I26" s="3" t="n"/>
      <c r="J26" s="3" t="n"/>
      <c r="K26" s="3" t="n"/>
      <c r="L26" s="3" t="n"/>
      <c r="M26" s="3" t="n"/>
      <c r="N26" s="3">
        <f>SUM(B26:M26)</f>
        <v/>
      </c>
      <c r="O26" s="1" t="inlineStr">
        <is>
          <t>MEALS</t>
        </is>
      </c>
    </row>
    <row r="27">
      <c r="A27" s="1" t="inlineStr">
        <is>
          <t>POS Mac Amazon.Com*9O5 Seattle WA</t>
        </is>
      </c>
      <c r="B27" s="3" t="n"/>
      <c r="C27" s="3" t="n"/>
      <c r="D27" s="3" t="n"/>
      <c r="E27" s="3" t="n"/>
      <c r="F27" s="3" t="n"/>
      <c r="G27" s="3" t="n"/>
      <c r="H27" s="3" t="n"/>
      <c r="I27" s="3">
        <f>26.57</f>
        <v/>
      </c>
      <c r="J27" s="3" t="n"/>
      <c r="K27" s="3" t="n"/>
      <c r="L27" s="3" t="n"/>
      <c r="M27" s="3" t="n"/>
      <c r="N27" s="3">
        <f>SUM(B27:M27)</f>
        <v/>
      </c>
      <c r="O27" s="1" t="inlineStr">
        <is>
          <t>MEALS</t>
        </is>
      </c>
    </row>
    <row r="28">
      <c r="A28" s="1" t="inlineStr">
        <is>
          <t>POS Mac Amazon.Com*Au5 Seattle WA</t>
        </is>
      </c>
      <c r="B28" s="3" t="n"/>
      <c r="C28" s="3" t="n"/>
      <c r="D28" s="3" t="n"/>
      <c r="E28" s="3" t="n"/>
      <c r="F28" s="3" t="n"/>
      <c r="G28" s="3" t="n"/>
      <c r="H28" s="3" t="n"/>
      <c r="I28" s="3" t="n"/>
      <c r="J28" s="3" t="n"/>
      <c r="K28" s="3" t="n"/>
      <c r="L28" s="3" t="n"/>
      <c r="M28" s="3" t="n"/>
      <c r="N28" s="3">
        <f>SUM(B28:M28)</f>
        <v/>
      </c>
      <c r="O28" s="1" t="inlineStr">
        <is>
          <t>MEALS</t>
        </is>
      </c>
    </row>
    <row r="29">
      <c r="A29" s="1" t="inlineStr">
        <is>
          <t>POS Mac Amazon.Com*Bq9 Seattle WA</t>
        </is>
      </c>
      <c r="B29" s="3" t="n"/>
      <c r="C29" s="3" t="n"/>
      <c r="D29" s="3" t="n"/>
      <c r="E29" s="3" t="n"/>
      <c r="F29" s="3" t="n"/>
      <c r="G29" s="3" t="n"/>
      <c r="H29" s="3" t="n"/>
      <c r="I29" s="3" t="n"/>
      <c r="J29" s="3" t="n"/>
      <c r="K29" s="3" t="n"/>
      <c r="L29" s="3" t="n"/>
      <c r="M29" s="3" t="n"/>
      <c r="N29" s="3">
        <f>SUM(B29:M29)</f>
        <v/>
      </c>
      <c r="O29" s="1" t="inlineStr">
        <is>
          <t>SUPPLY</t>
        </is>
      </c>
    </row>
    <row r="30">
      <c r="A30" s="1" t="inlineStr">
        <is>
          <t>POS Mac Amazon.Com*Ge2 Seattle WA</t>
        </is>
      </c>
      <c r="B30" s="3" t="n"/>
      <c r="C30" s="3" t="n"/>
      <c r="D30" s="3" t="n"/>
      <c r="E30" s="3" t="n"/>
      <c r="F30" s="3" t="n"/>
      <c r="G30" s="3" t="n"/>
      <c r="H30" s="3" t="n"/>
      <c r="I30" s="3" t="n"/>
      <c r="J30" s="3" t="n"/>
      <c r="K30" s="3" t="n"/>
      <c r="L30" s="3" t="n"/>
      <c r="M30" s="3" t="n"/>
      <c r="N30" s="3">
        <f>SUM(B30:M30)</f>
        <v/>
      </c>
      <c r="O30" s="1" t="inlineStr">
        <is>
          <t>SUPPLY</t>
        </is>
      </c>
    </row>
    <row r="31">
      <c r="A31" s="1" t="inlineStr">
        <is>
          <t>POS Mac Amazon.Com*Mz5 Seattle WA</t>
        </is>
      </c>
      <c r="B31" s="3" t="n"/>
      <c r="C31" s="3" t="n"/>
      <c r="D31" s="3" t="n"/>
      <c r="E31" s="3" t="n"/>
      <c r="F31" s="3" t="n"/>
      <c r="G31" s="3" t="n"/>
      <c r="H31" s="3" t="n"/>
      <c r="I31" s="3" t="n"/>
      <c r="J31" s="3" t="n"/>
      <c r="K31" s="3" t="n"/>
      <c r="L31" s="3" t="n"/>
      <c r="M31" s="3" t="n"/>
      <c r="N31" s="3">
        <f>SUM(B31:M31)</f>
        <v/>
      </c>
      <c r="O31" s="1" t="inlineStr">
        <is>
          <t>SUPPLY</t>
        </is>
      </c>
    </row>
    <row r="32">
      <c r="A32" s="1" t="inlineStr">
        <is>
          <t>POS Mac Amazon.Com*Nx6 Seattle WA</t>
        </is>
      </c>
      <c r="B32" s="3" t="n"/>
      <c r="C32" s="3" t="n"/>
      <c r="D32" s="3" t="n"/>
      <c r="E32" s="3" t="n"/>
      <c r="F32" s="3" t="n"/>
      <c r="G32" s="3" t="n"/>
      <c r="H32" s="3" t="n"/>
      <c r="I32" s="3">
        <f>75.40</f>
        <v/>
      </c>
      <c r="J32" s="3" t="n"/>
      <c r="K32" s="3" t="n"/>
      <c r="L32" s="3" t="n"/>
      <c r="M32" s="3" t="n"/>
      <c r="N32" s="3">
        <f>SUM(B32:M32)</f>
        <v/>
      </c>
      <c r="O32" s="1" t="inlineStr">
        <is>
          <t>SUPPLY</t>
        </is>
      </c>
    </row>
    <row r="33">
      <c r="A33" s="1" t="inlineStr">
        <is>
          <t>POS Mac Amazon.Com*Sb8 Seattle WA</t>
        </is>
      </c>
      <c r="B33" s="3" t="n"/>
      <c r="C33" s="3" t="n"/>
      <c r="D33" s="3" t="n"/>
      <c r="E33" s="3" t="n"/>
      <c r="F33" s="3" t="n"/>
      <c r="G33" s="3" t="n"/>
      <c r="H33" s="3" t="n"/>
      <c r="I33" s="3">
        <f>18.75</f>
        <v/>
      </c>
      <c r="J33" s="3" t="n"/>
      <c r="K33" s="3" t="n"/>
      <c r="L33" s="3" t="n"/>
      <c r="M33" s="3" t="n"/>
      <c r="N33" s="3">
        <f>SUM(B33:M33)</f>
        <v/>
      </c>
      <c r="O33" s="1" t="inlineStr">
        <is>
          <t>SUPPLY</t>
        </is>
      </c>
    </row>
    <row r="34">
      <c r="A34" s="1" t="inlineStr">
        <is>
          <t>POS Mac Amazon.Com*TN0 Seattle WA</t>
        </is>
      </c>
      <c r="B34" s="3" t="n"/>
      <c r="C34" s="3" t="n"/>
      <c r="D34" s="3" t="n"/>
      <c r="E34" s="3" t="n"/>
      <c r="F34" s="3" t="n"/>
      <c r="G34" s="3" t="n"/>
      <c r="H34" s="3" t="n"/>
      <c r="I34" s="3" t="n"/>
      <c r="J34" s="3" t="n"/>
      <c r="K34" s="3" t="n"/>
      <c r="L34" s="3" t="n"/>
      <c r="M34" s="3" t="n"/>
      <c r="N34" s="3">
        <f>SUM(B34:M34)</f>
        <v/>
      </c>
      <c r="O34" s="1" t="inlineStr">
        <is>
          <t>SUPPLY</t>
        </is>
      </c>
    </row>
    <row r="35">
      <c r="A35" s="1" t="inlineStr">
        <is>
          <t>POS Mac Amazon.Com*V25 Seattle WA</t>
        </is>
      </c>
      <c r="B35" s="3" t="n"/>
      <c r="C35" s="3" t="n"/>
      <c r="D35" s="3" t="n"/>
      <c r="E35" s="3" t="n"/>
      <c r="F35" s="3" t="n"/>
      <c r="G35" s="3" t="n"/>
      <c r="H35" s="3" t="n"/>
      <c r="I35" s="3" t="n"/>
      <c r="J35" s="3" t="n"/>
      <c r="K35" s="3" t="n"/>
      <c r="L35" s="3" t="n"/>
      <c r="M35" s="3" t="n"/>
      <c r="N35" s="3">
        <f>SUM(B35:M35)</f>
        <v/>
      </c>
      <c r="O35" s="1" t="inlineStr">
        <is>
          <t>SUPPLY</t>
        </is>
      </c>
    </row>
    <row r="36">
      <c r="A36" s="1" t="inlineStr">
        <is>
          <t>POS Mac Amazon.Com*Yr6 Seattle WA</t>
        </is>
      </c>
      <c r="B36" s="3" t="n"/>
      <c r="C36" s="3" t="n"/>
      <c r="D36" s="3" t="n"/>
      <c r="E36" s="3" t="n"/>
      <c r="F36" s="3" t="n"/>
      <c r="G36" s="3" t="n"/>
      <c r="H36" s="3" t="n"/>
      <c r="I36" s="3" t="n"/>
      <c r="J36" s="3" t="n"/>
      <c r="K36" s="3" t="n"/>
      <c r="L36" s="3" t="n"/>
      <c r="M36" s="3" t="n"/>
      <c r="N36" s="3">
        <f>SUM(B36:M36)</f>
        <v/>
      </c>
      <c r="O36" s="1" t="inlineStr">
        <is>
          <t>SUPPLY</t>
        </is>
      </c>
    </row>
    <row r="37">
      <c r="A37" s="1" t="inlineStr">
        <is>
          <t>POS Mac Amazon.Com*Za2 Seattle WA</t>
        </is>
      </c>
      <c r="B37" s="3" t="n"/>
      <c r="C37" s="3" t="n"/>
      <c r="D37" s="3" t="n"/>
      <c r="E37" s="3" t="n"/>
      <c r="F37" s="3" t="n"/>
      <c r="G37" s="3" t="n"/>
      <c r="H37" s="3" t="n"/>
      <c r="I37" s="3" t="n"/>
      <c r="J37" s="3" t="n"/>
      <c r="K37" s="3" t="n"/>
      <c r="L37" s="3" t="n"/>
      <c r="M37" s="3" t="n"/>
      <c r="N37" s="3">
        <f>SUM(B37:M37)</f>
        <v/>
      </c>
      <c r="O37" s="1" t="inlineStr">
        <is>
          <t>SUPPLY</t>
        </is>
      </c>
    </row>
    <row r="38">
      <c r="A38" s="1" t="inlineStr">
        <is>
          <t>Prog Casualty Ins Prem</t>
        </is>
      </c>
      <c r="B38" s="3" t="n"/>
      <c r="C38" s="3" t="n"/>
      <c r="D38" s="3" t="n"/>
      <c r="E38" s="3" t="n"/>
      <c r="F38" s="3" t="n"/>
      <c r="G38" s="3" t="n"/>
      <c r="H38" s="3" t="n"/>
      <c r="I38" s="3" t="n"/>
      <c r="J38" s="3" t="n"/>
      <c r="K38" s="3" t="n"/>
      <c r="L38" s="3" t="n"/>
      <c r="M38" s="3" t="n"/>
      <c r="N38" s="3">
        <f>SUM(B38:M38)</f>
        <v/>
      </c>
      <c r="O38" s="1" t="inlineStr">
        <is>
          <t>SUPPLY</t>
        </is>
      </c>
    </row>
    <row r="39">
      <c r="A39" s="1" t="inlineStr">
        <is>
          <t>WHOLEFDS CHB #10588 000010588 UNIVERSITY PL WA</t>
        </is>
      </c>
      <c r="B39" s="3" t="n"/>
      <c r="C39" s="3" t="n"/>
      <c r="D39" s="3" t="n"/>
      <c r="E39" s="3" t="n"/>
      <c r="F39" s="3" t="n"/>
      <c r="G39" s="3" t="n"/>
      <c r="H39" s="3" t="n"/>
      <c r="I39" s="3" t="n"/>
      <c r="J39" s="3" t="n"/>
      <c r="K39" s="3" t="n"/>
      <c r="L39" s="3" t="n"/>
      <c r="M39" s="3" t="n"/>
      <c r="N39" s="3">
        <f>SUM(B39:M39)</f>
        <v/>
      </c>
      <c r="O39" s="1" t="inlineStr">
        <is>
          <t>SUPPLY</t>
        </is>
      </c>
    </row>
    <row r="40">
      <c r="A40" s="1" t="inlineStr">
        <is>
          <t>Withdrawal Branch 0964 New York</t>
        </is>
      </c>
      <c r="B40" s="3" t="n"/>
      <c r="C40" s="3" t="n"/>
      <c r="D40" s="3" t="n"/>
      <c r="E40" s="3" t="n"/>
      <c r="F40" s="3" t="n"/>
      <c r="G40" s="3" t="n"/>
      <c r="H40" s="3" t="n"/>
      <c r="I40" s="3">
        <f>1000.00+3200.00</f>
        <v/>
      </c>
      <c r="J40" s="3" t="n"/>
      <c r="K40" s="3" t="n"/>
      <c r="L40" s="3" t="n"/>
      <c r="M40" s="3" t="n"/>
      <c r="N40" s="3">
        <f>SUM(B40:M40)</f>
        <v/>
      </c>
      <c r="O40" s="1" t="inlineStr">
        <is>
          <t>SUPPLY</t>
        </is>
      </c>
    </row>
    <row r="41">
      <c r="A41" s="1" t="inlineStr">
        <is>
          <t>Total</t>
        </is>
      </c>
      <c r="B41" s="3">
        <f>SUM(B2:B40)</f>
        <v/>
      </c>
      <c r="C41" s="3">
        <f>SUM(C2:C40)</f>
        <v/>
      </c>
      <c r="D41" s="3">
        <f>SUM(D2:D40)</f>
        <v/>
      </c>
      <c r="E41" s="3">
        <f>SUM(E2:E40)</f>
        <v/>
      </c>
      <c r="F41" s="3">
        <f>SUM(F2:F40)</f>
        <v/>
      </c>
      <c r="G41" s="3">
        <f>SUM(G2:G40)</f>
        <v/>
      </c>
      <c r="H41" s="3">
        <f>SUM(H2:H40)</f>
        <v/>
      </c>
      <c r="I41" s="3">
        <f>SUM(I2:I40)</f>
        <v/>
      </c>
      <c r="J41" s="3">
        <f>SUM(J2:J40)</f>
        <v/>
      </c>
      <c r="K41" s="3">
        <f>SUM(K2:K40)</f>
        <v/>
      </c>
      <c r="L41" s="3">
        <f>SUM(L2:L40)</f>
        <v/>
      </c>
      <c r="M41" s="3">
        <f>SUM(M2:M40)</f>
        <v/>
      </c>
      <c r="N41" s="3">
        <f>SUM(B41:M41)</f>
        <v/>
      </c>
      <c r="O41" s="1" t="n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1"/>
  <sheetViews>
    <sheetView topLeftCell="A35" workbookViewId="0">
      <selection activeCell="A1" sqref="A1"/>
    </sheetView>
  </sheetViews>
  <sheetFormatPr baseColWidth="8"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2026-07-24T03:53:26Z</dcterms:created>
  <dcterms:modified xsi:type="dcterms:W3CDTF">2026-08-03T18:13:18Z</dcterms:modified>
</cp:coreProperties>
</file>