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2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17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selection activeCell="AI2" sqref="AI2"/>
    </sheetView>
  </sheetViews>
  <sheetFormatPr baseColWidth="8" defaultRowHeight="15"/>
  <cols>
    <col width="7.85546875" bestFit="1" customWidth="1" style="5" min="1" max="1"/>
    <col width="10.42578125" bestFit="1" customWidth="1" style="5" min="2" max="2"/>
    <col width="12" bestFit="1" customWidth="1" style="5" min="3" max="3"/>
    <col width="8.7109375" bestFit="1" customWidth="1" style="5" min="4" max="4"/>
    <col width="7.7109375" bestFit="1" customWidth="1" style="5" min="5" max="5"/>
    <col width="11" bestFit="1" customWidth="1" style="5" min="6" max="6"/>
    <col width="6.5703125" bestFit="1" customWidth="1" style="5" min="7" max="7"/>
    <col width="10.42578125" bestFit="1" customWidth="1" style="5" min="8" max="8"/>
  </cols>
  <sheetData>
    <row r="1">
      <c r="A1" s="9" t="inlineStr">
        <is>
          <t>Chase #8565</t>
        </is>
      </c>
      <c r="B1" s="10" t="n"/>
      <c r="C1" s="10" t="n"/>
      <c r="D1" s="10" t="n"/>
      <c r="E1" s="10" t="n"/>
      <c r="F1" s="10" t="n"/>
      <c r="G1" s="10" t="n"/>
      <c r="H1" s="11" t="n"/>
      <c r="AD1" s="10" t="n"/>
      <c r="AE1" s="10" t="n"/>
      <c r="AF1" s="10" t="n"/>
      <c r="AG1" s="10" t="n"/>
      <c r="AH1" s="10" t="n"/>
      <c r="AI1" s="11" t="n"/>
    </row>
    <row r="2">
      <c r="A2" s="1" t="inlineStr">
        <is>
          <t>Month</t>
        </is>
      </c>
      <c r="B2" s="1" t="n"/>
      <c r="C2" t="inlineStr">
        <is>
          <t>Arrow Bank Na Web Pmt</t>
        </is>
      </c>
      <c r="D2" t="inlineStr">
        <is>
          <t>POS Mac Amazon.Com*Yr6 Seattle WA</t>
        </is>
      </c>
      <c r="E2" t="inlineStr">
        <is>
          <t>Amazon.Com*N22Fjseattlewa US</t>
        </is>
      </c>
      <c r="F2" t="inlineStr">
        <is>
          <t>Bill Pay:New York State Ins 237224 4Bq1P6Kr</t>
        </is>
      </c>
      <c r="G2" t="inlineStr">
        <is>
          <t>POS Mac Amazon.Com*Bq9 Seattle WA</t>
        </is>
      </c>
      <c r="H2" t="inlineStr">
        <is>
          <t>POS Mac Amazon.Com*Au5 Seattle WA</t>
        </is>
      </c>
      <c r="I2" t="inlineStr">
        <is>
          <t>POS Mac Amazon.Com*Za2 Seattle WA</t>
        </is>
      </c>
      <c r="J2" t="inlineStr">
        <is>
          <t>POS Mac Amazon.Com*V25 Seattle WA</t>
        </is>
      </c>
      <c r="K2" t="inlineStr">
        <is>
          <t>POS Mac Amazon.Com*Ge2 Seattle WA</t>
        </is>
      </c>
      <c r="L2" t="inlineStr">
        <is>
          <t>POS Mac Amazon.Com*Mz5 Seattle WA</t>
        </is>
      </c>
      <c r="M2" t="inlineStr">
        <is>
          <t>POS Mac Amazon.Com*TN0 Seattle WA</t>
        </is>
      </c>
      <c r="N2" t="inlineStr">
        <is>
          <t>Amazon.Comseattlewa US</t>
        </is>
      </c>
      <c r="O2" t="inlineStr">
        <is>
          <t>Citi Card Onlinepayment</t>
        </is>
      </c>
      <c r="P2" t="inlineStr">
        <is>
          <t>Prog Casualty Ins Prem</t>
        </is>
      </c>
      <c r="Q2" t="inlineStr">
        <is>
          <t>Credit One Bank Payment</t>
        </is>
      </c>
      <c r="R2" t="inlineStr">
        <is>
          <t>Irs Usataxpymt</t>
        </is>
      </c>
      <c r="S2" t="inlineStr">
        <is>
          <t>Amazon Prime*Zh8618Uz3 Amzn.Com/Bill WA</t>
        </is>
      </c>
      <c r="T2" t="inlineStr">
        <is>
          <t>Kindercare Portland OR</t>
        </is>
      </c>
      <c r="U2" t="inlineStr">
        <is>
          <t>Nys Dtf Pit Tax Paymnt</t>
        </is>
      </c>
      <c r="V2" t="inlineStr">
        <is>
          <t>POS Mac Amazon.Com*Sb8 Seattle WA</t>
        </is>
      </c>
      <c r="W2" t="inlineStr">
        <is>
          <t>POS Mac Amazon.Com*9O5 Seattle WA</t>
        </is>
      </c>
      <c r="X2" t="inlineStr">
        <is>
          <t>POS Mac Amazon.Com*Nx6 Seattle WA</t>
        </is>
      </c>
      <c r="Y2" t="inlineStr">
        <is>
          <t>Withdrawal Branch 0964 New York</t>
        </is>
      </c>
      <c r="Z2" t="inlineStr">
        <is>
          <t>Bill Pay:Orange &amp; Rockland 136130 6Bq1P6Kr</t>
        </is>
      </c>
      <c r="AA2" t="inlineStr">
        <is>
          <t>Bill Pay:Veolia Water New Y 200045 6Bu1T6Kr</t>
        </is>
      </c>
      <c r="AB2" t="inlineStr">
        <is>
          <t>Internet Trf To Client-Added Transfer Account</t>
        </is>
      </c>
      <c r="AC2" t="inlineStr">
        <is>
          <t>No1 Sushi 88 Corkbbo ACH</t>
        </is>
      </c>
      <c r="AD2" s="1" t="inlineStr">
        <is>
          <t>Atm Deposit</t>
        </is>
      </c>
      <c r="AE2" s="1" t="inlineStr">
        <is>
          <t xml:space="preserve">Amazon </t>
        </is>
      </c>
      <c r="AF2" s="1" t="inlineStr">
        <is>
          <t>Other</t>
        </is>
      </c>
      <c r="AG2" s="1" t="inlineStr">
        <is>
          <t>total Credit</t>
        </is>
      </c>
      <c r="AH2" s="1" t="inlineStr">
        <is>
          <t>Debit</t>
        </is>
      </c>
      <c r="AI2" s="1" t="n"/>
    </row>
    <row r="3">
      <c r="A3" s="2" t="n">
        <v>45748</v>
      </c>
      <c r="B3" s="3" t="n">
        <v>0</v>
      </c>
      <c r="AD3" s="1" t="n"/>
      <c r="AE3" s="1" t="n"/>
      <c r="AF3" s="1">
        <f>SUM(C3:AE3)</f>
        <v/>
      </c>
      <c r="AG3" s="1">
        <f>SUM(C3:E3)</f>
        <v/>
      </c>
      <c r="AH3" s="1">
        <f>B3+AF3-AG3</f>
        <v/>
      </c>
      <c r="AI3" s="3">
        <f>B3+F3-G3</f>
        <v/>
      </c>
      <c r="AJ3" t="n">
        <v>413048</v>
      </c>
      <c r="AK3" s="6">
        <f>I3-H3</f>
        <v/>
      </c>
    </row>
    <row r="4">
      <c r="A4" s="2" t="n">
        <v>45778</v>
      </c>
      <c r="B4" s="3">
        <f>AH3</f>
        <v/>
      </c>
      <c r="AD4" s="1" t="n"/>
      <c r="AE4" s="1" t="n"/>
      <c r="AF4" s="1">
        <f>SUM(C4:AE4)</f>
        <v/>
      </c>
      <c r="AG4" s="1">
        <f>SUM(C4:E4)</f>
        <v/>
      </c>
      <c r="AH4" s="1">
        <f>B4+AF4-AG4</f>
        <v/>
      </c>
      <c r="AI4" s="3">
        <f>B4+F4-G4</f>
        <v/>
      </c>
      <c r="AJ4" t="n">
        <v>412604</v>
      </c>
      <c r="AK4" s="6">
        <f>I4-H4</f>
        <v/>
      </c>
    </row>
    <row r="5">
      <c r="A5" s="2" t="n">
        <v>45809</v>
      </c>
      <c r="B5" s="3">
        <f>AH4</f>
        <v/>
      </c>
      <c r="AD5" s="1" t="n"/>
      <c r="AE5" s="1" t="n"/>
      <c r="AF5" s="1">
        <f>SUM(C5:AE5)</f>
        <v/>
      </c>
      <c r="AG5" s="1">
        <f>SUM(C5:E5)</f>
        <v/>
      </c>
      <c r="AH5" s="1">
        <f>B5+AF5-AG5</f>
        <v/>
      </c>
      <c r="AI5" s="3">
        <f>B5+F5-G5</f>
        <v/>
      </c>
      <c r="AJ5" t="n">
        <v>425005</v>
      </c>
      <c r="AK5" s="6">
        <f>I5-H5</f>
        <v/>
      </c>
    </row>
    <row r="6">
      <c r="A6" s="2" t="n">
        <v>45839</v>
      </c>
      <c r="B6" s="3">
        <f>AH5</f>
        <v/>
      </c>
      <c r="AD6" s="1" t="n"/>
      <c r="AE6" s="1" t="n"/>
      <c r="AF6" s="1">
        <f>SUM(C6:AE6)</f>
        <v/>
      </c>
      <c r="AG6" s="1">
        <f>SUM(C6:E6)</f>
        <v/>
      </c>
      <c r="AH6" s="1">
        <f>B6+AF6-AG6</f>
        <v/>
      </c>
      <c r="AI6" s="3">
        <f>B6+F6-G6</f>
        <v/>
      </c>
      <c r="AJ6" t="n">
        <v>437378</v>
      </c>
      <c r="AK6" s="6">
        <f>I6-H6</f>
        <v/>
      </c>
    </row>
    <row r="7">
      <c r="A7" s="2" t="n">
        <v>45870</v>
      </c>
      <c r="B7" s="3">
        <f>AH6</f>
        <v/>
      </c>
      <c r="AD7" s="1" t="n"/>
      <c r="AE7" s="1" t="n"/>
      <c r="AF7" s="1">
        <f>SUM(C7:AE7)</f>
        <v/>
      </c>
      <c r="AG7" s="1">
        <f>SUM(C7:E7)</f>
        <v/>
      </c>
      <c r="AH7" s="1">
        <f>B7+AF7-AG7</f>
        <v/>
      </c>
      <c r="AI7" s="3">
        <f>B7+F7-G7</f>
        <v/>
      </c>
      <c r="AJ7" t="n">
        <v>438873</v>
      </c>
      <c r="AK7" s="6">
        <f>I7-H7</f>
        <v/>
      </c>
    </row>
    <row r="8">
      <c r="A8" s="2" t="n">
        <v>45901</v>
      </c>
      <c r="B8" s="3">
        <f>AH7</f>
        <v/>
      </c>
      <c r="AD8" s="1" t="n"/>
      <c r="AE8" s="1" t="n"/>
      <c r="AF8" s="1">
        <f>SUM(C8:AE8)</f>
        <v/>
      </c>
      <c r="AG8" s="1">
        <f>SUM(C8:E8)</f>
        <v/>
      </c>
      <c r="AH8" s="1">
        <f>B8+AF8-AG8</f>
        <v/>
      </c>
      <c r="AI8" s="3">
        <f>B8+F8-G8</f>
        <v/>
      </c>
      <c r="AJ8" t="n">
        <v>438831</v>
      </c>
      <c r="AK8" s="6">
        <f>I8-H8</f>
        <v/>
      </c>
    </row>
    <row r="9">
      <c r="A9" s="2" t="n">
        <v>45931</v>
      </c>
      <c r="B9" s="3">
        <f>AH8</f>
        <v/>
      </c>
      <c r="AD9" s="1" t="n"/>
      <c r="AE9" s="1" t="n"/>
      <c r="AF9" s="1">
        <f>SUM(C9:AE9)</f>
        <v/>
      </c>
      <c r="AG9" s="1">
        <f>SUM(C9:E9)</f>
        <v/>
      </c>
      <c r="AH9" s="1">
        <f>B9+AF9-AG9</f>
        <v/>
      </c>
      <c r="AI9" s="3">
        <f>B9+F9-G9</f>
        <v/>
      </c>
      <c r="AJ9" t="n">
        <v>592012</v>
      </c>
      <c r="AK9" s="6">
        <f>I9-H9</f>
        <v/>
      </c>
    </row>
    <row r="10">
      <c r="A10" s="2" t="n">
        <v>45962</v>
      </c>
      <c r="B10" s="3">
        <f>AH9</f>
        <v/>
      </c>
      <c r="AD10" s="1" t="n"/>
      <c r="AE10" s="1" t="n"/>
      <c r="AF10" s="1">
        <f>SUM(C10:AE10)</f>
        <v/>
      </c>
      <c r="AG10" s="1">
        <f>SUM(C10:E10)</f>
        <v/>
      </c>
      <c r="AH10" s="1">
        <f>B10+AF10-AG10</f>
        <v/>
      </c>
      <c r="AI10" s="3">
        <f>B10+F10-G10</f>
        <v/>
      </c>
      <c r="AJ10" t="n">
        <v>579559</v>
      </c>
      <c r="AK10" s="6">
        <f>I10-H10</f>
        <v/>
      </c>
    </row>
    <row r="11">
      <c r="A11" s="2" t="n">
        <v>45992</v>
      </c>
      <c r="B11" s="3">
        <f>AH10</f>
        <v/>
      </c>
      <c r="AD11" s="1" t="n"/>
      <c r="AE11" s="1" t="n"/>
      <c r="AF11" s="1">
        <f>SUM(C11:AE11)</f>
        <v/>
      </c>
      <c r="AG11" s="1">
        <f>SUM(C11:E11)</f>
        <v/>
      </c>
      <c r="AH11" s="1">
        <f>B11+AF11-AG11</f>
        <v/>
      </c>
      <c r="AI11" s="3">
        <f>B11+F11-G11</f>
        <v/>
      </c>
      <c r="AJ11" t="n">
        <v>703255</v>
      </c>
      <c r="AK11" s="6">
        <f>I11-H11</f>
        <v/>
      </c>
    </row>
    <row r="12">
      <c r="A12" s="2" t="n">
        <v>46023</v>
      </c>
      <c r="B12" s="3">
        <f>AH11</f>
        <v/>
      </c>
      <c r="AD12" s="1" t="n"/>
      <c r="AE12" s="1" t="n"/>
      <c r="AF12" s="1">
        <f>SUM(C12:AE12)</f>
        <v/>
      </c>
      <c r="AG12" s="1">
        <f>SUM(C12:E12)</f>
        <v/>
      </c>
      <c r="AH12" s="1">
        <f>B12+AF12-AG12</f>
        <v/>
      </c>
      <c r="AI12" s="3">
        <f>B12+F12-G12</f>
        <v/>
      </c>
      <c r="AJ12" t="n">
        <v>698719</v>
      </c>
      <c r="AK12" s="6">
        <f>I12-H12</f>
        <v/>
      </c>
    </row>
    <row r="13">
      <c r="A13" s="2" t="n">
        <v>46054</v>
      </c>
      <c r="B13" s="3">
        <f>AH12</f>
        <v/>
      </c>
      <c r="AD13" s="1" t="n"/>
      <c r="AE13" s="1" t="n"/>
      <c r="AF13" s="1">
        <f>SUM(C13:AE13)</f>
        <v/>
      </c>
      <c r="AG13" s="1">
        <f>SUM(C13:E13)</f>
        <v/>
      </c>
      <c r="AH13" s="1">
        <f>B13+AF13-AG13</f>
        <v/>
      </c>
      <c r="AI13" s="3">
        <f>B13+F13-G13</f>
        <v/>
      </c>
      <c r="AJ13" t="n">
        <v>713229</v>
      </c>
      <c r="AK13" s="6">
        <f>I13-H13</f>
        <v/>
      </c>
    </row>
    <row r="14">
      <c r="A14" s="2" t="n">
        <v>46082</v>
      </c>
      <c r="B14" s="3">
        <f>AH13</f>
        <v/>
      </c>
      <c r="AD14" s="1" t="n"/>
      <c r="AE14" s="1" t="n"/>
      <c r="AF14" s="1">
        <f>SUM(C14:AE14)</f>
        <v/>
      </c>
      <c r="AG14" s="1">
        <f>SUM(C14:E14)</f>
        <v/>
      </c>
      <c r="AH14" s="1">
        <f>B14+AF14-AG14</f>
        <v/>
      </c>
      <c r="AI14" s="3">
        <f>B14+F14-G14</f>
        <v/>
      </c>
      <c r="AJ14" t="n">
        <v>716586</v>
      </c>
      <c r="AK14" s="6">
        <f>I14-H14</f>
        <v/>
      </c>
    </row>
    <row r="15">
      <c r="A15" s="2" t="inlineStr">
        <is>
          <t>Total</t>
        </is>
      </c>
      <c r="B15" s="2" t="n"/>
      <c r="C15" s="6">
        <f>SUM(C3:C14)</f>
        <v/>
      </c>
      <c r="D15" s="6">
        <f>SUM(D3:D14)</f>
        <v/>
      </c>
      <c r="E15" s="6">
        <f>SUM(E3:E14)</f>
        <v/>
      </c>
      <c r="F15" s="6">
        <f>SUM(F3:F14)</f>
        <v/>
      </c>
      <c r="G15" s="6">
        <f>SUM(G3:G14)</f>
        <v/>
      </c>
      <c r="H15" s="6">
        <f>SUM(H3:H14)</f>
        <v/>
      </c>
      <c r="I15" s="6">
        <f>SUM(I3:I14)</f>
        <v/>
      </c>
      <c r="J15" s="6">
        <f>SUM(J3:J14)</f>
        <v/>
      </c>
      <c r="K15" s="6">
        <f>SUM(K3:K14)</f>
        <v/>
      </c>
      <c r="L15" s="6">
        <f>SUM(L3:L14)</f>
        <v/>
      </c>
      <c r="M15" s="6">
        <f>SUM(M3:M14)</f>
        <v/>
      </c>
      <c r="N15" s="6">
        <f>SUM(N3:N14)</f>
        <v/>
      </c>
      <c r="O15" s="6">
        <f>SUM(O3:O14)</f>
        <v/>
      </c>
      <c r="P15" s="6">
        <f>SUM(P3:P14)</f>
        <v/>
      </c>
      <c r="Q15" s="6">
        <f>SUM(Q3:Q14)</f>
        <v/>
      </c>
      <c r="R15" s="6">
        <f>SUM(R3:R14)</f>
        <v/>
      </c>
      <c r="S15" s="6">
        <f>SUM(S3:S14)</f>
        <v/>
      </c>
      <c r="T15" s="6">
        <f>SUM(T3:T14)</f>
        <v/>
      </c>
      <c r="U15" s="6">
        <f>SUM(U3:U14)</f>
        <v/>
      </c>
      <c r="V15" s="6">
        <f>SUM(V3:V14)</f>
        <v/>
      </c>
      <c r="W15" s="6">
        <f>SUM(W3:W14)</f>
        <v/>
      </c>
      <c r="X15" s="6">
        <f>SUM(X3:X14)</f>
        <v/>
      </c>
      <c r="Y15" s="6">
        <f>SUM(Y3:Y14)</f>
        <v/>
      </c>
      <c r="Z15" s="6">
        <f>SUM(Z3:Z14)</f>
        <v/>
      </c>
      <c r="AA15" s="6">
        <f>SUM(AA3:AA14)</f>
        <v/>
      </c>
      <c r="AB15" s="6">
        <f>SUM(AB3:AB14)</f>
        <v/>
      </c>
      <c r="AC15" s="6">
        <f>SUM(AC3:AC14)</f>
        <v/>
      </c>
      <c r="AD15" s="3">
        <f>SUM(AD3:AD14)</f>
        <v/>
      </c>
      <c r="AE15" s="3">
        <f>SUM(AE3:AE14)</f>
        <v/>
      </c>
      <c r="AF15" s="3">
        <f>SUM(AF3:AF14)</f>
        <v/>
      </c>
      <c r="AG15" s="3">
        <f>SUM(AG3:AG14)</f>
        <v/>
      </c>
      <c r="AH15" s="3">
        <f>AH14</f>
        <v/>
      </c>
      <c r="AI15" s="3">
        <f>AI14</f>
        <v/>
      </c>
    </row>
    <row r="16">
      <c r="A16" s="4" t="n"/>
      <c r="B16" s="4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P17" sqref="P17"/>
    </sheetView>
  </sheetViews>
  <sheetFormatPr baseColWidth="8" defaultRowHeight="15"/>
  <cols>
    <col width="42.85546875" bestFit="1" customWidth="1" style="5" min="1" max="1"/>
    <col width="7.140625" bestFit="1" customWidth="1" style="5" min="2" max="2"/>
    <col width="7.85546875" bestFit="1" customWidth="1" style="5" min="3" max="3"/>
    <col width="6.85546875" bestFit="1" customWidth="1" style="5" min="4" max="4"/>
    <col width="9.28515625" bestFit="1" customWidth="1" style="5" min="5" max="5"/>
    <col width="7.28515625" bestFit="1" customWidth="1" style="5" min="6" max="6"/>
    <col width="7.140625" bestFit="1" customWidth="1" style="5" min="7" max="7"/>
    <col width="9.28515625" bestFit="1" customWidth="1" style="5" min="8" max="8"/>
    <col width="7.42578125" bestFit="1" customWidth="1" style="5" min="9" max="9"/>
    <col width="9.28515625" bestFit="1" customWidth="1" style="5" min="10" max="12"/>
    <col width="7.5703125" bestFit="1" customWidth="1" style="5" min="13" max="13"/>
    <col width="10.42578125" bestFit="1" customWidth="1" style="5" min="14" max="14"/>
    <col width="10.5703125" bestFit="1" customWidth="1" style="5" min="15" max="15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n"/>
    </row>
    <row r="2">
      <c r="A2" s="1" t="inlineStr">
        <is>
          <t>AMAOZN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</row>
    <row r="6">
      <c r="A6" s="1" t="inlineStr">
        <is>
          <t>No1 Sushi 88 Corkbbo ACH</t>
        </is>
      </c>
      <c r="B6" s="1" t="n"/>
      <c r="C6" s="1" t="n"/>
      <c r="D6" s="1" t="n"/>
      <c r="E6" s="3" t="n"/>
      <c r="F6" s="1" t="n"/>
      <c r="G6" s="1" t="n"/>
      <c r="H6" s="3" t="n"/>
      <c r="I6" s="1" t="n"/>
      <c r="J6" s="3" t="n"/>
      <c r="K6" s="3" t="n"/>
      <c r="L6" s="3" t="n"/>
      <c r="M6" s="1" t="n"/>
      <c r="N6" s="3">
        <f>SUM(B6,C6,D6,E6,F6,G6,H6,I6,J6,K6,L6,M6)</f>
        <v/>
      </c>
      <c r="O6" s="1" t="inlineStr">
        <is>
          <t>REVIEW</t>
        </is>
      </c>
    </row>
    <row r="7">
      <c r="A7" s="1" t="inlineStr">
        <is>
          <t>Internet Trf To Client-Added Transfer Account</t>
        </is>
      </c>
      <c r="B7" s="1" t="n"/>
      <c r="C7" s="1" t="n"/>
      <c r="D7" s="1" t="n"/>
      <c r="E7" s="3" t="n"/>
      <c r="F7" s="1" t="n"/>
      <c r="G7" s="1" t="n"/>
      <c r="H7" s="3" t="n"/>
      <c r="I7" s="1" t="n"/>
      <c r="J7" s="3" t="n"/>
      <c r="K7" s="3" t="n"/>
      <c r="L7" s="3" t="n"/>
      <c r="M7" s="1" t="n"/>
      <c r="N7" s="3">
        <f>SUM(B7,C7,D7,E7,F7,G7,H7,I7,J7,K7,L7,M7)</f>
        <v/>
      </c>
      <c r="O7" s="1" t="inlineStr">
        <is>
          <t>REVIEW</t>
        </is>
      </c>
    </row>
    <row r="8">
      <c r="A8" s="1" t="inlineStr">
        <is>
          <t>Bill Pay:Veolia Water New Y 200045 6Bu1T6Kr</t>
        </is>
      </c>
      <c r="B8" s="1" t="n"/>
      <c r="C8" s="1" t="n"/>
      <c r="D8" s="1" t="n"/>
      <c r="E8" s="3" t="n"/>
      <c r="F8" s="1" t="n"/>
      <c r="G8" s="1" t="n"/>
      <c r="H8" s="3" t="n"/>
      <c r="I8" s="1" t="n"/>
      <c r="J8" s="3" t="n"/>
      <c r="K8" s="3" t="n"/>
      <c r="L8" s="3" t="n"/>
      <c r="M8" s="1" t="n"/>
      <c r="N8" s="3">
        <f>SUM(B8,C8,D8,E8,F8,G8,H8,I8,J8,K8,L8,M8)</f>
        <v/>
      </c>
      <c r="O8" s="1" t="inlineStr">
        <is>
          <t>REVIEW</t>
        </is>
      </c>
    </row>
    <row r="9">
      <c r="A9" s="1" t="inlineStr">
        <is>
          <t>Bill Pay:Orange &amp; Rockland 136130 6Bq1P6Kr</t>
        </is>
      </c>
      <c r="B9" s="1" t="n"/>
      <c r="C9" s="1" t="n"/>
      <c r="D9" s="1" t="n"/>
      <c r="E9" s="3" t="n"/>
      <c r="F9" s="1" t="n"/>
      <c r="G9" s="1" t="n"/>
      <c r="H9" s="3" t="n"/>
      <c r="I9" s="1" t="n"/>
      <c r="J9" s="3" t="n"/>
      <c r="K9" s="3" t="n"/>
      <c r="L9" s="3" t="n"/>
      <c r="M9" s="1" t="n"/>
      <c r="N9" s="3">
        <f>SUM(B9,C9,D9,E9,F9,G9,H9,I9,J9,K9,L9,M9)</f>
        <v/>
      </c>
      <c r="O9" s="1" t="inlineStr">
        <is>
          <t>REVIEW</t>
        </is>
      </c>
    </row>
    <row r="10">
      <c r="A10" s="1" t="inlineStr">
        <is>
          <t>Withdrawal Branch 0964 New York</t>
        </is>
      </c>
      <c r="B10" s="1" t="n"/>
      <c r="C10" s="1" t="n"/>
      <c r="D10" s="1" t="n"/>
      <c r="E10" s="3" t="n"/>
      <c r="F10" s="1" t="n"/>
      <c r="G10" s="1" t="n"/>
      <c r="H10" s="3" t="n"/>
      <c r="I10" s="1" t="n"/>
      <c r="J10" s="3" t="n"/>
      <c r="K10" s="3" t="n"/>
      <c r="L10" s="3" t="n"/>
      <c r="M10" s="1" t="n"/>
      <c r="N10" s="3">
        <f>SUM(B10,C10,D10,E10,F10,G10,H10,I10,J10,K10,L10,M10)</f>
        <v/>
      </c>
      <c r="O10" s="1" t="inlineStr">
        <is>
          <t>REVIEW</t>
        </is>
      </c>
    </row>
    <row r="11">
      <c r="A11" s="1" t="inlineStr">
        <is>
          <t>POS Mac Amazon.Com*Nx6 Seattle WA</t>
        </is>
      </c>
      <c r="B11" s="1" t="n"/>
      <c r="C11" s="1" t="n"/>
      <c r="D11" s="1" t="n"/>
      <c r="E11" s="3" t="n"/>
      <c r="F11" s="1" t="n"/>
      <c r="G11" s="1" t="n"/>
      <c r="H11" s="3" t="n"/>
      <c r="I11" s="1" t="n"/>
      <c r="J11" s="3" t="n"/>
      <c r="K11" s="3" t="n"/>
      <c r="L11" s="3" t="n"/>
      <c r="M11" s="1" t="n"/>
      <c r="N11" s="3">
        <f>SUM(B11,C11,D11,E11,F11,G11,H11,I11,J11,K11,L11,M11)</f>
        <v/>
      </c>
      <c r="O11" s="1" t="inlineStr">
        <is>
          <t>REVIEW</t>
        </is>
      </c>
    </row>
    <row r="12">
      <c r="A12" s="1" t="inlineStr">
        <is>
          <t>POS Mac Amazon.Com*9O5 Seattle WA</t>
        </is>
      </c>
      <c r="B12" s="1" t="n"/>
      <c r="C12" s="1" t="n"/>
      <c r="D12" s="1" t="n"/>
      <c r="E12" s="3" t="n"/>
      <c r="F12" s="1" t="n"/>
      <c r="G12" s="1" t="n"/>
      <c r="H12" s="3" t="n"/>
      <c r="I12" s="1" t="n"/>
      <c r="J12" s="3" t="n"/>
      <c r="K12" s="3" t="n"/>
      <c r="L12" s="3" t="n"/>
      <c r="M12" s="1" t="n"/>
      <c r="N12" s="3">
        <f>SUM(B12,C12,D12,E12,F12,G12,H12,I12,J12,K12,L12,M12)</f>
        <v/>
      </c>
      <c r="O12" s="1" t="inlineStr">
        <is>
          <t>REVIEW</t>
        </is>
      </c>
    </row>
    <row r="13">
      <c r="A13" s="1" t="inlineStr">
        <is>
          <t>POS Mac Amazon.Com*Sb8 Seattle WA</t>
        </is>
      </c>
      <c r="B13" s="1" t="n"/>
      <c r="C13" s="1" t="n"/>
      <c r="D13" s="1" t="n"/>
      <c r="E13" s="3" t="n"/>
      <c r="F13" s="1" t="n"/>
      <c r="G13" s="1" t="n"/>
      <c r="H13" s="3" t="n"/>
      <c r="I13" s="1" t="n"/>
      <c r="J13" s="3" t="n"/>
      <c r="K13" s="3" t="n"/>
      <c r="L13" s="3" t="n"/>
      <c r="M13" s="1" t="n"/>
      <c r="N13" s="3">
        <f>SUM(B13,C13,D13,E13,F13,G13,H13,I13,J13,K13,L13,M13)</f>
        <v/>
      </c>
      <c r="O13" s="1" t="inlineStr">
        <is>
          <t>REVIEW</t>
        </is>
      </c>
    </row>
    <row r="14">
      <c r="A14" s="1" t="inlineStr">
        <is>
          <t>Nys Dtf Pit Tax Paymnt</t>
        </is>
      </c>
      <c r="B14" s="1" t="n"/>
      <c r="C14" s="1" t="n"/>
      <c r="D14" s="1" t="n"/>
      <c r="E14" s="3" t="n"/>
      <c r="F14" s="1" t="n"/>
      <c r="G14" s="1" t="n"/>
      <c r="H14" s="3" t="n"/>
      <c r="I14" s="1" t="n"/>
      <c r="J14" s="3" t="n"/>
      <c r="K14" s="3" t="n"/>
      <c r="L14" s="3" t="n"/>
      <c r="M14" s="1" t="n"/>
      <c r="N14" s="3">
        <f>SUM(B14,C14,D14,E14,F14,G14,H14,I14,J14,K14,L14,M14)</f>
        <v/>
      </c>
      <c r="O14" s="1" t="inlineStr">
        <is>
          <t>REVIEW</t>
        </is>
      </c>
    </row>
    <row r="15">
      <c r="A15" s="1" t="inlineStr">
        <is>
          <t>Kindercare Portland OR</t>
        </is>
      </c>
      <c r="B15" s="1" t="n"/>
      <c r="C15" s="1" t="n"/>
      <c r="D15" s="1" t="n"/>
      <c r="E15" s="3" t="n"/>
      <c r="F15" s="1" t="n"/>
      <c r="G15" s="1" t="n"/>
      <c r="H15" s="3" t="n"/>
      <c r="I15" s="1" t="n"/>
      <c r="J15" s="3" t="n"/>
      <c r="K15" s="3" t="n"/>
      <c r="L15" s="3" t="n"/>
      <c r="M15" s="1" t="n"/>
      <c r="N15" s="3">
        <f>SUM(B15,C15,D15,E15,F15,G15,H15,I15,J15,K15,L15,M15)</f>
        <v/>
      </c>
      <c r="O15" s="1" t="inlineStr">
        <is>
          <t>REVIEW</t>
        </is>
      </c>
    </row>
    <row r="16">
      <c r="A16" s="1" t="inlineStr">
        <is>
          <t>Amazon Prime*Zh8618Uz3 Amzn.Com/Bill WA</t>
        </is>
      </c>
      <c r="B16" s="1" t="n"/>
      <c r="C16" s="1" t="n"/>
      <c r="D16" s="1" t="n"/>
      <c r="E16" s="3" t="n"/>
      <c r="F16" s="1" t="n"/>
      <c r="G16" s="1" t="n"/>
      <c r="H16" s="3" t="n"/>
      <c r="I16" s="1" t="n"/>
      <c r="J16" s="3" t="n"/>
      <c r="K16" s="3" t="n"/>
      <c r="L16" s="3" t="n"/>
      <c r="M16" s="1" t="n"/>
      <c r="N16" s="3">
        <f>SUM(B16,C16,D16,E16,F16,G16,H16,I16,J16,K16,L16,M16)</f>
        <v/>
      </c>
      <c r="O16" s="1" t="inlineStr">
        <is>
          <t>REVIEW</t>
        </is>
      </c>
    </row>
    <row r="17">
      <c r="A17" s="1" t="inlineStr">
        <is>
          <t>Irs Usataxpymt</t>
        </is>
      </c>
      <c r="B17" s="1" t="n"/>
      <c r="C17" s="1" t="n"/>
      <c r="D17" s="1" t="n"/>
      <c r="E17" s="3" t="n"/>
      <c r="F17" s="1" t="n"/>
      <c r="G17" s="1" t="n"/>
      <c r="H17" s="3" t="n"/>
      <c r="I17" s="1" t="n"/>
      <c r="J17" s="3" t="n"/>
      <c r="K17" s="3" t="n"/>
      <c r="L17" s="3" t="n"/>
      <c r="M17" s="1" t="n"/>
      <c r="N17" s="3">
        <f>SUM(B17,C17,D17,E17,F17,G17,H17,I17,J17,K17,L17,M17)</f>
        <v/>
      </c>
      <c r="O17" s="1" t="inlineStr">
        <is>
          <t>REVIEW</t>
        </is>
      </c>
    </row>
    <row r="18">
      <c r="A18" s="1" t="inlineStr">
        <is>
          <t>Credit One Bank Payment</t>
        </is>
      </c>
      <c r="B18" s="1" t="n"/>
      <c r="C18" s="1" t="n"/>
      <c r="D18" s="1" t="n"/>
      <c r="E18" s="3" t="n"/>
      <c r="F18" s="1" t="n"/>
      <c r="G18" s="1" t="n"/>
      <c r="H18" s="3" t="n"/>
      <c r="I18" s="1" t="n"/>
      <c r="J18" s="3" t="n"/>
      <c r="K18" s="3" t="n"/>
      <c r="L18" s="3" t="n"/>
      <c r="M18" s="1" t="n"/>
      <c r="N18" s="3">
        <f>SUM(B18,C18,D18,E18,F18,G18,H18,I18,J18,K18,L18,M18)</f>
        <v/>
      </c>
      <c r="O18" s="1" t="inlineStr">
        <is>
          <t>REVIEW</t>
        </is>
      </c>
    </row>
    <row r="19">
      <c r="A19" s="1" t="inlineStr">
        <is>
          <t>Prog Casualty Ins Prem</t>
        </is>
      </c>
      <c r="B19" s="1" t="n"/>
      <c r="C19" s="1" t="n"/>
      <c r="D19" s="1" t="n"/>
      <c r="E19" s="3" t="n"/>
      <c r="F19" s="1" t="n"/>
      <c r="G19" s="1" t="n"/>
      <c r="H19" s="3" t="n"/>
      <c r="I19" s="1" t="n"/>
      <c r="J19" s="3" t="n"/>
      <c r="K19" s="3" t="n"/>
      <c r="L19" s="3" t="n"/>
      <c r="M19" s="1" t="n"/>
      <c r="N19" s="3">
        <f>SUM(B19,C19,D19,E19,F19,G19,H19,I19,J19,K19,L19,M19)</f>
        <v/>
      </c>
      <c r="O19" s="1" t="inlineStr">
        <is>
          <t>REVIEW</t>
        </is>
      </c>
    </row>
    <row r="20">
      <c r="A20" s="1" t="inlineStr">
        <is>
          <t>Citi Card Onlinepayment</t>
        </is>
      </c>
      <c r="B20" s="1" t="n"/>
      <c r="C20" s="1" t="n"/>
      <c r="D20" s="1" t="n"/>
      <c r="E20" s="3" t="n"/>
      <c r="F20" s="1" t="n"/>
      <c r="G20" s="1" t="n"/>
      <c r="H20" s="3" t="n"/>
      <c r="I20" s="1" t="n"/>
      <c r="J20" s="3" t="n"/>
      <c r="K20" s="3" t="n"/>
      <c r="L20" s="3" t="n"/>
      <c r="M20" s="1" t="n"/>
      <c r="N20" s="3">
        <f>SUM(B20,C20,D20,E20,F20,G20,H20,I20,J20,K20,L20,M20)</f>
        <v/>
      </c>
      <c r="O20" s="1" t="inlineStr">
        <is>
          <t>REVIEW</t>
        </is>
      </c>
    </row>
    <row r="21">
      <c r="A21" s="1" t="inlineStr">
        <is>
          <t>Amazon.Comseattlewa US</t>
        </is>
      </c>
      <c r="B21" s="1" t="n"/>
      <c r="C21" s="1" t="n"/>
      <c r="D21" s="1" t="n"/>
      <c r="E21" s="3" t="n"/>
      <c r="F21" s="1" t="n"/>
      <c r="G21" s="1" t="n"/>
      <c r="H21" s="3" t="n"/>
      <c r="I21" s="1" t="n"/>
      <c r="J21" s="3" t="n"/>
      <c r="K21" s="3" t="n"/>
      <c r="L21" s="3" t="n"/>
      <c r="M21" s="1" t="n"/>
      <c r="N21" s="3">
        <f>SUM(B21,C21,D21,E21,F21,G21,H21,I21,J21,K21,L21,M21)</f>
        <v/>
      </c>
      <c r="O21" s="1" t="inlineStr">
        <is>
          <t>REVIEW</t>
        </is>
      </c>
    </row>
    <row r="22">
      <c r="A22" s="1" t="inlineStr">
        <is>
          <t>POS Mac Amazon.Com*Yr6 Seattle WA</t>
        </is>
      </c>
      <c r="B22" s="1" t="n"/>
      <c r="C22" s="1" t="n"/>
      <c r="D22" s="1" t="n"/>
      <c r="E22" s="3" t="n"/>
      <c r="F22" s="1" t="n"/>
      <c r="G22" s="1" t="n"/>
      <c r="H22" s="3" t="n"/>
      <c r="I22" s="1" t="n"/>
      <c r="J22" s="3" t="n"/>
      <c r="K22" s="3" t="n"/>
      <c r="L22" s="3" t="n"/>
      <c r="M22" s="1" t="n"/>
      <c r="N22" s="3">
        <f>SUM(B22,C22,D22,E22,F22,G22,H22,I22,J22,K22,L22,M22)</f>
        <v/>
      </c>
      <c r="O22" s="1" t="inlineStr">
        <is>
          <t>REVIEW</t>
        </is>
      </c>
    </row>
    <row r="23">
      <c r="A23" s="1" t="inlineStr">
        <is>
          <t>Arrow Bank Na Web Pmt</t>
        </is>
      </c>
      <c r="B23" s="1" t="n"/>
      <c r="C23" s="1" t="n"/>
      <c r="D23" s="1" t="n"/>
      <c r="E23" s="3" t="n"/>
      <c r="F23" s="1" t="n"/>
      <c r="G23" s="1" t="n"/>
      <c r="H23" s="3" t="n"/>
      <c r="I23" s="1" t="n"/>
      <c r="J23" s="3" t="n"/>
      <c r="K23" s="3" t="n"/>
      <c r="L23" s="3" t="n"/>
      <c r="M23" s="1" t="n"/>
      <c r="N23" s="3">
        <f>SUM(B23,C23,D23,E23,F23,G23,H23,I23,J23,K23,L23,M23)</f>
        <v/>
      </c>
      <c r="O23" s="1" t="inlineStr">
        <is>
          <t>REVIEW</t>
        </is>
      </c>
    </row>
    <row r="24">
      <c r="A24" s="1" t="inlineStr">
        <is>
          <t>POS Mac Amazon.Com*TN0 Seattle WA</t>
        </is>
      </c>
      <c r="B24" s="1" t="n"/>
      <c r="C24" s="1" t="n"/>
      <c r="D24" s="1" t="n"/>
      <c r="E24" s="3" t="n"/>
      <c r="F24" s="1" t="n"/>
      <c r="G24" s="1" t="n"/>
      <c r="H24" s="3" t="n"/>
      <c r="I24" s="1" t="n"/>
      <c r="J24" s="3" t="n"/>
      <c r="K24" s="3" t="n"/>
      <c r="L24" s="3" t="n"/>
      <c r="M24" s="1" t="n"/>
      <c r="N24" s="3">
        <f>SUM(B24,C24,D24,E24,F24,G24,H24,I24,J24,K24,L24,M24)</f>
        <v/>
      </c>
      <c r="O24" s="1" t="inlineStr">
        <is>
          <t>REVIEW</t>
        </is>
      </c>
    </row>
    <row r="25">
      <c r="A25" s="1" t="inlineStr">
        <is>
          <t>POS Mac Amazon.Com*Mz5 Seattle WA</t>
        </is>
      </c>
      <c r="B25" s="1" t="n"/>
      <c r="C25" s="1" t="n"/>
      <c r="D25" s="1" t="n"/>
      <c r="E25" s="3" t="n"/>
      <c r="F25" s="1" t="n"/>
      <c r="G25" s="1" t="n"/>
      <c r="H25" s="3" t="n"/>
      <c r="I25" s="1" t="n"/>
      <c r="J25" s="3" t="n"/>
      <c r="K25" s="3" t="n"/>
      <c r="L25" s="3" t="n"/>
      <c r="M25" s="1" t="n"/>
      <c r="N25" s="3">
        <f>SUM(B25,C25,D25,E25,F25,G25,H25,I25,J25,K25,L25,M25)</f>
        <v/>
      </c>
      <c r="O25" s="1" t="inlineStr">
        <is>
          <t>REVIEW</t>
        </is>
      </c>
    </row>
    <row r="26">
      <c r="A26" s="1" t="inlineStr">
        <is>
          <t>POS Mac Amazon.Com*Ge2 Seattle WA</t>
        </is>
      </c>
      <c r="B26" s="1" t="n"/>
      <c r="C26" s="1" t="n"/>
      <c r="D26" s="1" t="n"/>
      <c r="E26" s="3" t="n"/>
      <c r="F26" s="1" t="n"/>
      <c r="G26" s="1" t="n"/>
      <c r="H26" s="3" t="n"/>
      <c r="I26" s="1" t="n"/>
      <c r="J26" s="3" t="n"/>
      <c r="K26" s="3" t="n"/>
      <c r="L26" s="3" t="n"/>
      <c r="M26" s="1" t="n"/>
      <c r="N26" s="3">
        <f>SUM(B26,C26,D26,E26,F26,G26,H26,I26,J26,K26,L26,M26)</f>
        <v/>
      </c>
      <c r="O26" s="1" t="inlineStr">
        <is>
          <t>REVIEW</t>
        </is>
      </c>
    </row>
    <row r="27">
      <c r="A27" s="1" t="inlineStr">
        <is>
          <t>POS Mac Amazon.Com*V25 Seattle WA</t>
        </is>
      </c>
      <c r="B27" s="1" t="n"/>
      <c r="C27" s="1" t="n"/>
      <c r="D27" s="1" t="n"/>
      <c r="E27" s="3" t="n"/>
      <c r="F27" s="1" t="n"/>
      <c r="G27" s="1" t="n"/>
      <c r="H27" s="3" t="n"/>
      <c r="I27" s="1" t="n"/>
      <c r="J27" s="3" t="n"/>
      <c r="K27" s="3" t="n"/>
      <c r="L27" s="3" t="n"/>
      <c r="M27" s="1" t="n"/>
      <c r="N27" s="3">
        <f>SUM(B27,C27,D27,E27,F27,G27,H27,I27,J27,K27,L27,M27)</f>
        <v/>
      </c>
      <c r="O27" s="1" t="inlineStr">
        <is>
          <t>REVIEW</t>
        </is>
      </c>
    </row>
    <row r="28">
      <c r="A28" s="1" t="inlineStr">
        <is>
          <t>POS Mac Amazon.Com*Za2 Seattle WA</t>
        </is>
      </c>
      <c r="B28" s="1" t="n"/>
      <c r="C28" s="1" t="n"/>
      <c r="D28" s="1" t="n"/>
      <c r="E28" s="3" t="n"/>
      <c r="F28" s="1" t="n"/>
      <c r="G28" s="1" t="n"/>
      <c r="H28" s="3" t="n"/>
      <c r="I28" s="1" t="n"/>
      <c r="J28" s="3" t="n"/>
      <c r="K28" s="3" t="n"/>
      <c r="L28" s="3" t="n"/>
      <c r="M28" s="1" t="n"/>
      <c r="N28" s="3">
        <f>SUM(B28,C28,D28,E28,F28,G28,H28,I28,J28,K28,L28,M28)</f>
        <v/>
      </c>
      <c r="O28" s="1" t="inlineStr">
        <is>
          <t>REVIEW</t>
        </is>
      </c>
    </row>
    <row r="29">
      <c r="A29" s="1" t="inlineStr">
        <is>
          <t>POS Mac Amazon.Com*Au5 Seattle WA</t>
        </is>
      </c>
      <c r="B29" s="1" t="n"/>
      <c r="C29" s="1" t="n"/>
      <c r="D29" s="1" t="n"/>
      <c r="E29" s="3" t="n"/>
      <c r="F29" s="1" t="n"/>
      <c r="G29" s="1" t="n"/>
      <c r="H29" s="3" t="n"/>
      <c r="I29" s="1" t="n"/>
      <c r="J29" s="3" t="n"/>
      <c r="K29" s="3" t="n"/>
      <c r="L29" s="3" t="n"/>
      <c r="M29" s="1" t="n"/>
      <c r="N29" s="3">
        <f>SUM(B29,C29,D29,E29,F29,G29,H29,I29,J29,K29,L29,M29)</f>
        <v/>
      </c>
      <c r="O29" s="1" t="inlineStr">
        <is>
          <t>REVIEW</t>
        </is>
      </c>
    </row>
    <row r="30">
      <c r="A30" s="1" t="inlineStr">
        <is>
          <t>POS Mac Amazon.Com*Bq9 Seattle WA</t>
        </is>
      </c>
      <c r="B30" s="1" t="n"/>
      <c r="C30" s="1" t="n"/>
      <c r="D30" s="1" t="n"/>
      <c r="E30" s="3" t="n"/>
      <c r="F30" s="1" t="n"/>
      <c r="G30" s="1" t="n"/>
      <c r="H30" s="3" t="n"/>
      <c r="I30" s="1" t="n"/>
      <c r="J30" s="3" t="n"/>
      <c r="K30" s="3" t="n"/>
      <c r="L30" s="3" t="n"/>
      <c r="M30" s="1" t="n"/>
      <c r="N30" s="3">
        <f>SUM(B30,C30,D30,E30,F30,G30,H30,I30,J30,K30,L30,M30)</f>
        <v/>
      </c>
      <c r="O30" s="1" t="inlineStr">
        <is>
          <t>REVIEW</t>
        </is>
      </c>
    </row>
    <row r="31">
      <c r="A31" s="1" t="inlineStr">
        <is>
          <t>Bill Pay:New York State Ins 237224 4Bq1P6Kr</t>
        </is>
      </c>
      <c r="B31" s="1" t="n"/>
      <c r="C31" s="1" t="n"/>
      <c r="D31" s="1" t="n"/>
      <c r="E31" s="3" t="n"/>
      <c r="F31" s="1" t="n"/>
      <c r="G31" s="1" t="n"/>
      <c r="H31" s="3" t="n"/>
      <c r="I31" s="1" t="n"/>
      <c r="J31" s="3" t="n"/>
      <c r="K31" s="3" t="n"/>
      <c r="L31" s="3" t="n"/>
      <c r="M31" s="1" t="n"/>
      <c r="N31" s="3">
        <f>SUM(B31,C31,D31,E31,F31,G31,H31,I31,J31,K31,L31,M31)</f>
        <v/>
      </c>
      <c r="O31" s="1" t="inlineStr">
        <is>
          <t>REVIEW</t>
        </is>
      </c>
    </row>
    <row r="32">
      <c r="A32" s="1" t="inlineStr">
        <is>
          <t>Amazon.Com*N22Fjseattlewa US</t>
        </is>
      </c>
      <c r="B32" s="1" t="n"/>
      <c r="C32" s="1" t="n"/>
      <c r="D32" s="1" t="n"/>
      <c r="E32" s="3" t="n"/>
      <c r="F32" s="1" t="n"/>
      <c r="G32" s="1" t="n"/>
      <c r="H32" s="3" t="n"/>
      <c r="I32" s="1" t="n"/>
      <c r="J32" s="3" t="n"/>
      <c r="K32" s="3" t="n"/>
      <c r="L32" s="3" t="n"/>
      <c r="M32" s="1" t="n"/>
      <c r="N32" s="3">
        <f>SUM(B32,C32,D32,E32,F32,G32,H32,I32,J32,K32,L32,M32)</f>
        <v/>
      </c>
      <c r="O32" s="1" t="inlineStr">
        <is>
          <t>REVIEW</t>
        </is>
      </c>
    </row>
    <row r="33">
      <c r="A33" s="1" t="inlineStr">
        <is>
          <t>Total</t>
        </is>
      </c>
      <c r="B33" s="3">
        <f>SUM(B2:B32)</f>
        <v/>
      </c>
      <c r="C33" s="3">
        <f>SUM(C2:C32)</f>
        <v/>
      </c>
      <c r="D33" s="3">
        <f>SUM(D2:D32)</f>
        <v/>
      </c>
      <c r="E33" s="3">
        <f>SUM(E2:E32)</f>
        <v/>
      </c>
      <c r="F33" s="3">
        <f>SUM(F2:F32)</f>
        <v/>
      </c>
      <c r="G33" s="3">
        <f>SUM(G2:G32)</f>
        <v/>
      </c>
      <c r="H33" s="3">
        <f>SUM(H2:H32)</f>
        <v/>
      </c>
      <c r="I33" s="3">
        <f>SUM(I2:I32)</f>
        <v/>
      </c>
      <c r="J33" s="3">
        <f>SUM(J2:J32)</f>
        <v/>
      </c>
      <c r="K33" s="3">
        <f>SUM(K2:K32)</f>
        <v/>
      </c>
      <c r="L33" s="3">
        <f>SUM(L2:L32)</f>
        <v/>
      </c>
      <c r="M33" s="3">
        <f>SUM(M2:M32)</f>
        <v/>
      </c>
      <c r="N33" s="3">
        <f>SUM(B33,C33,D33,E33,F33,G33,H33,I33,J33,K33,L33,M33)</f>
        <v/>
      </c>
      <c r="O33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tabSelected="1" workbookViewId="0">
      <selection activeCell="O12" sqref="O12"/>
    </sheetView>
  </sheetViews>
  <sheetFormatPr baseColWidth="8" defaultRowHeight="15"/>
  <cols>
    <col width="42.85546875" bestFit="1" customWidth="1" style="5" min="1" max="1"/>
    <col width="7.140625" bestFit="1" customWidth="1" style="5" min="2" max="2"/>
    <col width="7.85546875" bestFit="1" customWidth="1" style="5" min="3" max="3"/>
    <col width="6.85546875" bestFit="1" customWidth="1" style="5" min="4" max="4"/>
    <col width="6.28515625" bestFit="1" customWidth="1" style="5" min="5" max="5"/>
    <col width="7.28515625" bestFit="1" customWidth="1" style="5" min="6" max="6"/>
    <col width="7.140625" bestFit="1" customWidth="1" style="5" min="7" max="7"/>
    <col width="7" bestFit="1" customWidth="1" style="5" min="8" max="8"/>
    <col width="7.42578125" bestFit="1" customWidth="1" style="5" min="9" max="9"/>
    <col width="7.28515625" bestFit="1" customWidth="1" style="5" min="10" max="10"/>
    <col width="9.28515625" bestFit="1" customWidth="1" style="5" min="11" max="11"/>
    <col width="7.140625" bestFit="1" customWidth="1" style="5" min="12" max="12"/>
    <col width="7.5703125" bestFit="1" customWidth="1" style="5" min="13" max="13"/>
    <col width="9.28515625" bestFit="1" customWidth="1" style="5" min="14" max="14"/>
    <col width="10.5703125" bestFit="1" customWidth="1" style="5" min="15" max="15"/>
  </cols>
  <sheetData>
    <row r="1">
      <c r="A1" s="1">
        <f>'Chase #156'!A1</f>
        <v/>
      </c>
      <c r="B1" s="2">
        <f>'Chase #156'!A3</f>
        <v/>
      </c>
      <c r="C1" s="2">
        <f>'Chase #156'!A4</f>
        <v/>
      </c>
      <c r="D1" s="2">
        <f>'Chase #156'!A5</f>
        <v/>
      </c>
      <c r="E1" s="2">
        <f>'Chase #156'!A6</f>
        <v/>
      </c>
      <c r="F1" s="2">
        <f>'Chase #156'!A7</f>
        <v/>
      </c>
      <c r="G1" s="2">
        <f>'Chase #156'!A8</f>
        <v/>
      </c>
      <c r="H1" s="2">
        <f>'Chase #156'!A9</f>
        <v/>
      </c>
      <c r="I1" s="2">
        <f>'Chase #156'!A10</f>
        <v/>
      </c>
      <c r="J1" s="2">
        <f>'Chase #156'!A11</f>
        <v/>
      </c>
      <c r="K1" s="2">
        <f>'Chase #156'!A12</f>
        <v/>
      </c>
      <c r="L1" s="2">
        <f>'Chase #156'!A13</f>
        <v/>
      </c>
      <c r="M1" s="2">
        <f>'Chase #156'!A14</f>
        <v/>
      </c>
      <c r="N1" s="2" t="inlineStr">
        <is>
          <t>TOTAL</t>
        </is>
      </c>
      <c r="O1" s="2" t="inlineStr">
        <is>
          <t>categories</t>
        </is>
      </c>
      <c r="P1" s="4" t="n">
        <v>46113</v>
      </c>
    </row>
    <row r="2">
      <c r="A2" s="1" t="inlineStr">
        <is>
          <t>AMAOZN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3">
        <f>SUM(B2,C2,D2,E2,F2,G2,H2,I2,J2,K2,L2,M2)</f>
        <v/>
      </c>
      <c r="O2" s="1" t="inlineStr">
        <is>
          <t>SUPPLY</t>
        </is>
      </c>
      <c r="P2" t="n">
        <v>42</v>
      </c>
    </row>
    <row r="3">
      <c r="A3" s="1" t="inlineStr">
        <is>
          <t>TAREGE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3">
        <f>SUM(B3,C3,D3,E3,F3,G3,H3,I3,J3,K3,L3,M3)</f>
        <v/>
      </c>
      <c r="O3" s="1" t="inlineStr">
        <is>
          <t>GASOLINE</t>
        </is>
      </c>
      <c r="P3" t="n">
        <v>4</v>
      </c>
    </row>
    <row r="4">
      <c r="A4" s="1" t="inlineStr">
        <is>
          <t>CUBE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3">
        <f>SUM(B4,C4,D4,E4,F4,G4,H4,I4,J4,K4,L4,M4)</f>
        <v/>
      </c>
      <c r="O4" s="1" t="inlineStr">
        <is>
          <t>SUPRER</t>
        </is>
      </c>
      <c r="P4" t="n">
        <v>234</v>
      </c>
    </row>
    <row r="5">
      <c r="A5" s="1" t="inlineStr">
        <is>
          <t>AGASD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3">
        <f>SUM(B5,C5,D5,E5,F5,G5,H5,I5,J5,K5,L5,M5)</f>
        <v/>
      </c>
      <c r="O5" s="1" t="inlineStr">
        <is>
          <t>SUPPLY</t>
        </is>
      </c>
      <c r="P5" t="n">
        <v>234</v>
      </c>
    </row>
    <row r="6">
      <c r="A6" s="1" t="inlineStr">
        <is>
          <t>No1 Sushi 88 Corkbbo ACH</t>
        </is>
      </c>
      <c r="B6" s="1" t="n"/>
      <c r="C6" s="3" t="n"/>
      <c r="D6" s="1" t="n"/>
      <c r="E6" s="1" t="n"/>
      <c r="F6" s="3" t="n"/>
      <c r="G6" s="1" t="n"/>
      <c r="H6" s="1" t="n"/>
      <c r="I6" s="3" t="n"/>
      <c r="J6" s="1" t="n"/>
      <c r="K6" s="3" t="n"/>
      <c r="L6" s="1" t="n"/>
      <c r="M6" s="1" t="n"/>
      <c r="N6" s="3">
        <f>SUM(B6,C6,D6,E6,F6,G6,H6,I6,J6,K6,L6,M6)</f>
        <v/>
      </c>
      <c r="O6" s="1" t="inlineStr">
        <is>
          <t>REVIEW</t>
        </is>
      </c>
      <c r="P6" s="6">
        <f>4000</f>
        <v/>
      </c>
    </row>
    <row r="7">
      <c r="A7" s="1" t="inlineStr">
        <is>
          <t>Internet Trf To Client-Added Transfer Account</t>
        </is>
      </c>
      <c r="B7" s="1" t="n"/>
      <c r="C7" s="3" t="n"/>
      <c r="D7" s="1" t="n"/>
      <c r="E7" s="1" t="n"/>
      <c r="F7" s="3" t="n"/>
      <c r="G7" s="1" t="n"/>
      <c r="H7" s="1" t="n"/>
      <c r="I7" s="3" t="n"/>
      <c r="J7" s="1" t="n"/>
      <c r="K7" s="3" t="n"/>
      <c r="L7" s="1" t="n"/>
      <c r="M7" s="1" t="n"/>
      <c r="N7" s="3">
        <f>SUM(B7,C7,D7,E7,F7,G7,H7,I7,J7,K7,L7,M7)</f>
        <v/>
      </c>
      <c r="O7" s="1" t="inlineStr">
        <is>
          <t>REVIEW</t>
        </is>
      </c>
      <c r="P7" s="6">
        <f>385.77+740+453</f>
        <v/>
      </c>
    </row>
    <row r="8">
      <c r="A8" s="1" t="inlineStr">
        <is>
          <t>Bill Pay:Veolia Water New Y 200045 6Bu1T6Kr</t>
        </is>
      </c>
      <c r="B8" s="1" t="n"/>
      <c r="C8" s="3" t="n"/>
      <c r="D8" s="1" t="n"/>
      <c r="E8" s="1" t="n"/>
      <c r="F8" s="3" t="n"/>
      <c r="G8" s="1" t="n"/>
      <c r="H8" s="1" t="n"/>
      <c r="I8" s="3" t="n"/>
      <c r="J8" s="1" t="n"/>
      <c r="K8" s="3" t="n"/>
      <c r="L8" s="1" t="n"/>
      <c r="M8" s="1" t="n"/>
      <c r="N8" s="3">
        <f>SUM(B8,C8,D8,E8,F8,G8,H8,I8,J8,K8,L8,M8)</f>
        <v/>
      </c>
      <c r="O8" s="1" t="inlineStr">
        <is>
          <t>REVIEW</t>
        </is>
      </c>
      <c r="P8" s="6">
        <f>300</f>
        <v/>
      </c>
    </row>
    <row r="9">
      <c r="A9" s="1" t="inlineStr">
        <is>
          <t>Bill Pay:Orange &amp; Rockland 136130 6Bq1P6Kr</t>
        </is>
      </c>
      <c r="B9" s="1" t="n"/>
      <c r="C9" s="3" t="n"/>
      <c r="D9" s="1" t="n"/>
      <c r="E9" s="1" t="n"/>
      <c r="F9" s="3" t="n"/>
      <c r="G9" s="1" t="n"/>
      <c r="H9" s="1" t="n"/>
      <c r="I9" s="3" t="n"/>
      <c r="J9" s="1" t="n"/>
      <c r="K9" s="3" t="n"/>
      <c r="L9" s="1" t="n"/>
      <c r="M9" s="1" t="n"/>
      <c r="N9" s="3">
        <f>SUM(B9,C9,D9,E9,F9,G9,H9,I9,J9,K9,L9,M9)</f>
        <v/>
      </c>
      <c r="O9" s="1" t="inlineStr">
        <is>
          <t>REVIEW</t>
        </is>
      </c>
      <c r="P9" s="6">
        <f>350</f>
        <v/>
      </c>
    </row>
    <row r="10">
      <c r="A10" s="1" t="inlineStr">
        <is>
          <t>Withdrawal Branch 0964 New York</t>
        </is>
      </c>
      <c r="B10" s="1" t="n"/>
      <c r="C10" s="3" t="n"/>
      <c r="D10" s="1" t="n"/>
      <c r="E10" s="1" t="n"/>
      <c r="F10" s="3" t="n"/>
      <c r="G10" s="1" t="n"/>
      <c r="H10" s="1" t="n"/>
      <c r="I10" s="3" t="n"/>
      <c r="J10" s="1" t="n"/>
      <c r="K10" s="3" t="n"/>
      <c r="L10" s="1" t="n"/>
      <c r="M10" s="1" t="n"/>
      <c r="N10" s="3">
        <f>SUM(B10,C10,D10,E10,F10,G10,H10,I10,J10,K10,L10,M10)</f>
        <v/>
      </c>
      <c r="O10" s="1" t="inlineStr">
        <is>
          <t>REVIEW</t>
        </is>
      </c>
      <c r="P10" s="6">
        <f>1000+3200+3800</f>
        <v/>
      </c>
    </row>
    <row r="11">
      <c r="A11" s="1" t="inlineStr">
        <is>
          <t>POS Mac Amazon.Com*Nx6 Seattle WA</t>
        </is>
      </c>
      <c r="B11" s="1" t="n"/>
      <c r="C11" s="3" t="n"/>
      <c r="D11" s="1" t="n"/>
      <c r="E11" s="1" t="n"/>
      <c r="F11" s="3" t="n"/>
      <c r="G11" s="1" t="n"/>
      <c r="H11" s="1" t="n"/>
      <c r="I11" s="3" t="n"/>
      <c r="J11" s="1" t="n"/>
      <c r="K11" s="3" t="n"/>
      <c r="L11" s="1" t="n"/>
      <c r="M11" s="1" t="n"/>
      <c r="N11" s="3">
        <f>SUM(B11,C11,D11,E11,F11,G11,H11,I11,J11,K11,L11,M11)</f>
        <v/>
      </c>
      <c r="O11" s="1" t="inlineStr">
        <is>
          <t>REVIEW</t>
        </is>
      </c>
      <c r="P11" s="6">
        <f>75.4</f>
        <v/>
      </c>
    </row>
    <row r="12">
      <c r="A12" s="1" t="inlineStr">
        <is>
          <t>POS Mac Amazon.Com*9O5 Seattle WA</t>
        </is>
      </c>
      <c r="B12" s="1" t="n"/>
      <c r="C12" s="3" t="n"/>
      <c r="D12" s="1" t="n"/>
      <c r="E12" s="1" t="n"/>
      <c r="F12" s="3" t="n"/>
      <c r="G12" s="1" t="n"/>
      <c r="H12" s="1" t="n"/>
      <c r="I12" s="3" t="n"/>
      <c r="J12" s="1" t="n"/>
      <c r="K12" s="3" t="n"/>
      <c r="L12" s="1" t="n"/>
      <c r="M12" s="1" t="n"/>
      <c r="N12" s="3">
        <f>SUM(B12,C12,D12,E12,F12,G12,H12,I12,J12,K12,L12,M12)</f>
        <v/>
      </c>
      <c r="O12" s="1" t="inlineStr">
        <is>
          <t>REVIEW</t>
        </is>
      </c>
      <c r="P12" s="6">
        <f>26.57</f>
        <v/>
      </c>
    </row>
    <row r="13">
      <c r="A13" s="1" t="inlineStr">
        <is>
          <t>POS Mac Amazon.Com*Sb8 Seattle WA</t>
        </is>
      </c>
      <c r="B13" s="1" t="n"/>
      <c r="C13" s="3" t="n"/>
      <c r="D13" s="1" t="n"/>
      <c r="E13" s="1" t="n"/>
      <c r="F13" s="3" t="n"/>
      <c r="G13" s="1" t="n"/>
      <c r="H13" s="1" t="n"/>
      <c r="I13" s="3" t="n"/>
      <c r="J13" s="1" t="n"/>
      <c r="K13" s="3" t="n"/>
      <c r="L13" s="1" t="n"/>
      <c r="M13" s="1" t="n"/>
      <c r="N13" s="3">
        <f>SUM(B13,C13,D13,E13,F13,G13,H13,I13,J13,K13,L13,M13)</f>
        <v/>
      </c>
      <c r="O13" s="1" t="inlineStr">
        <is>
          <t>REVIEW</t>
        </is>
      </c>
      <c r="P13" s="6">
        <f>18.75</f>
        <v/>
      </c>
    </row>
    <row r="14">
      <c r="A14" s="1" t="inlineStr">
        <is>
          <t>Nys Dtf Pit Tax Paymnt</t>
        </is>
      </c>
      <c r="B14" s="1" t="n"/>
      <c r="C14" s="3" t="n"/>
      <c r="D14" s="1" t="n"/>
      <c r="E14" s="1" t="n"/>
      <c r="F14" s="3" t="n"/>
      <c r="G14" s="1" t="n"/>
      <c r="H14" s="1" t="n"/>
      <c r="I14" s="3" t="n"/>
      <c r="J14" s="1" t="n"/>
      <c r="K14" s="3" t="n"/>
      <c r="L14" s="1" t="n"/>
      <c r="M14" s="1" t="n"/>
      <c r="N14" s="3">
        <f>SUM(B14,C14,D14,E14,F14,G14,H14,I14,J14,K14,L14,M14)</f>
        <v/>
      </c>
      <c r="O14" s="1" t="inlineStr">
        <is>
          <t>REVIEW</t>
        </is>
      </c>
      <c r="P14" s="6">
        <f>200+200</f>
        <v/>
      </c>
    </row>
    <row r="15">
      <c r="A15" s="1" t="inlineStr">
        <is>
          <t>Kindercare Portland OR</t>
        </is>
      </c>
      <c r="B15" s="1" t="n"/>
      <c r="C15" s="3" t="n"/>
      <c r="D15" s="1" t="n"/>
      <c r="E15" s="1" t="n"/>
      <c r="F15" s="3" t="n"/>
      <c r="G15" s="1" t="n"/>
      <c r="H15" s="1" t="n"/>
      <c r="I15" s="3" t="n"/>
      <c r="J15" s="1" t="n"/>
      <c r="K15" s="3" t="n"/>
      <c r="L15" s="1" t="n"/>
      <c r="M15" s="1" t="n"/>
      <c r="N15" s="3">
        <f>SUM(B15,C15,D15,E15,F15,G15,H15,I15,J15,K15,L15,M15)</f>
        <v/>
      </c>
      <c r="O15" s="1" t="inlineStr">
        <is>
          <t>REVIEW</t>
        </is>
      </c>
      <c r="P15" s="6">
        <f>490+120</f>
        <v/>
      </c>
    </row>
    <row r="16">
      <c r="A16" s="1" t="inlineStr">
        <is>
          <t>Amazon Prime*Zh8618Uz3 Amzn.Com/Bill WA</t>
        </is>
      </c>
      <c r="B16" s="1" t="n"/>
      <c r="C16" s="3" t="n"/>
      <c r="D16" s="1" t="n"/>
      <c r="E16" s="1" t="n"/>
      <c r="F16" s="3" t="n"/>
      <c r="G16" s="1" t="n"/>
      <c r="H16" s="1" t="n"/>
      <c r="I16" s="3" t="n"/>
      <c r="J16" s="1" t="n"/>
      <c r="K16" s="3" t="n"/>
      <c r="L16" s="1" t="n"/>
      <c r="M16" s="1" t="n"/>
      <c r="N16" s="3">
        <f>SUM(B16,C16,D16,E16,F16,G16,H16,I16,J16,K16,L16,M16)</f>
        <v/>
      </c>
      <c r="O16" s="1" t="inlineStr">
        <is>
          <t>REVIEW</t>
        </is>
      </c>
      <c r="P16" s="6">
        <f>16.25</f>
        <v/>
      </c>
    </row>
    <row r="17">
      <c r="A17" s="1" t="inlineStr">
        <is>
          <t>Irs Usataxpymt</t>
        </is>
      </c>
      <c r="B17" s="1" t="n"/>
      <c r="C17" s="3" t="n"/>
      <c r="D17" s="1" t="n"/>
      <c r="E17" s="1" t="n"/>
      <c r="F17" s="3" t="n"/>
      <c r="G17" s="1" t="n"/>
      <c r="H17" s="1" t="n"/>
      <c r="I17" s="3" t="n"/>
      <c r="J17" s="1" t="n"/>
      <c r="K17" s="3" t="n"/>
      <c r="L17" s="1" t="n"/>
      <c r="M17" s="1" t="n"/>
      <c r="N17" s="3">
        <f>SUM(B17,C17,D17,E17,F17,G17,H17,I17,J17,K17,L17,M17)</f>
        <v/>
      </c>
      <c r="O17" s="1" t="inlineStr">
        <is>
          <t>REVIEW</t>
        </is>
      </c>
      <c r="P17" s="6">
        <f>800+800</f>
        <v/>
      </c>
    </row>
    <row r="18">
      <c r="A18" s="1" t="inlineStr">
        <is>
          <t>Credit One Bank Payment</t>
        </is>
      </c>
      <c r="B18" s="1" t="n"/>
      <c r="C18" s="3" t="n"/>
      <c r="D18" s="1" t="n"/>
      <c r="E18" s="1" t="n"/>
      <c r="F18" s="3" t="n"/>
      <c r="G18" s="1" t="n"/>
      <c r="H18" s="1" t="n"/>
      <c r="I18" s="3" t="n"/>
      <c r="J18" s="1" t="n"/>
      <c r="K18" s="3" t="n"/>
      <c r="L18" s="1" t="n"/>
      <c r="M18" s="1" t="n"/>
      <c r="N18" s="3">
        <f>SUM(B18,C18,D18,E18,F18,G18,H18,I18,J18,K18,L18,M18)</f>
        <v/>
      </c>
      <c r="O18" s="1" t="inlineStr">
        <is>
          <t>REVIEW</t>
        </is>
      </c>
      <c r="P18" s="6">
        <f>817.29</f>
        <v/>
      </c>
    </row>
    <row r="19">
      <c r="A19" s="1" t="inlineStr">
        <is>
          <t>Prog Casualty Ins Prem</t>
        </is>
      </c>
      <c r="B19" s="1" t="n"/>
      <c r="C19" s="3" t="n"/>
      <c r="D19" s="1" t="n"/>
      <c r="E19" s="1" t="n"/>
      <c r="F19" s="3" t="n"/>
      <c r="G19" s="1" t="n"/>
      <c r="H19" s="1" t="n"/>
      <c r="I19" s="3" t="n"/>
      <c r="J19" s="1" t="n"/>
      <c r="K19" s="3" t="n"/>
      <c r="L19" s="1" t="n"/>
      <c r="M19" s="1" t="n"/>
      <c r="N19" s="3">
        <f>SUM(B19,C19,D19,E19,F19,G19,H19,I19,J19,K19,L19,M19)</f>
        <v/>
      </c>
      <c r="O19" s="1" t="inlineStr">
        <is>
          <t>REVIEW</t>
        </is>
      </c>
      <c r="P19" s="6">
        <f>930.52</f>
        <v/>
      </c>
    </row>
    <row r="20">
      <c r="A20" s="1" t="inlineStr">
        <is>
          <t>Citi Card Onlinepayment</t>
        </is>
      </c>
      <c r="B20" s="1" t="n"/>
      <c r="C20" s="3" t="n"/>
      <c r="D20" s="1" t="n"/>
      <c r="E20" s="1" t="n"/>
      <c r="F20" s="3" t="n"/>
      <c r="G20" s="1" t="n"/>
      <c r="H20" s="1" t="n"/>
      <c r="I20" s="3" t="n"/>
      <c r="J20" s="1" t="n"/>
      <c r="K20" s="3" t="n"/>
      <c r="L20" s="1" t="n"/>
      <c r="M20" s="1" t="n"/>
      <c r="N20" s="3">
        <f>SUM(B20,C20,D20,E20,F20,G20,H20,I20,J20,K20,L20,M20)</f>
        <v/>
      </c>
      <c r="O20" s="1" t="inlineStr">
        <is>
          <t>REVIEW</t>
        </is>
      </c>
      <c r="P20" s="6">
        <f>975+364.75+1400</f>
        <v/>
      </c>
    </row>
    <row r="21">
      <c r="A21" s="1" t="inlineStr">
        <is>
          <t>Amazon.Comseattlewa US</t>
        </is>
      </c>
      <c r="B21" s="1" t="n"/>
      <c r="C21" s="3" t="n"/>
      <c r="D21" s="1" t="n"/>
      <c r="E21" s="1" t="n"/>
      <c r="F21" s="3" t="n"/>
      <c r="G21" s="1" t="n"/>
      <c r="H21" s="1" t="n"/>
      <c r="I21" s="3" t="n"/>
      <c r="J21" s="1" t="n"/>
      <c r="K21" s="3" t="n"/>
      <c r="L21" s="1" t="n"/>
      <c r="M21" s="1" t="n"/>
      <c r="N21" s="3">
        <f>SUM(B21,C21,D21,E21,F21,G21,H21,I21,J21,K21,L21,M21)</f>
        <v/>
      </c>
      <c r="O21" s="1" t="inlineStr">
        <is>
          <t>REVIEW</t>
        </is>
      </c>
      <c r="P21" s="6">
        <f>117.76</f>
        <v/>
      </c>
    </row>
    <row r="22">
      <c r="A22" s="1" t="inlineStr">
        <is>
          <t>POS Mac Amazon.Com*Yr6 Seattle WA</t>
        </is>
      </c>
      <c r="B22" s="1" t="n"/>
      <c r="C22" s="3" t="n"/>
      <c r="D22" s="1" t="n"/>
      <c r="E22" s="1" t="n"/>
      <c r="F22" s="3" t="n"/>
      <c r="G22" s="1" t="n"/>
      <c r="H22" s="1" t="n"/>
      <c r="I22" s="3" t="n"/>
      <c r="J22" s="1" t="n"/>
      <c r="K22" s="3" t="n"/>
      <c r="L22" s="1" t="n"/>
      <c r="M22" s="1" t="n"/>
      <c r="N22" s="3">
        <f>SUM(B22,C22,D22,E22,F22,G22,H22,I22,J22,K22,L22,M22)</f>
        <v/>
      </c>
      <c r="O22" s="1" t="inlineStr">
        <is>
          <t>REVIEW</t>
        </is>
      </c>
      <c r="P22" s="6">
        <f>13.79</f>
        <v/>
      </c>
    </row>
    <row r="23">
      <c r="A23" s="1" t="inlineStr">
        <is>
          <t>Arrow Bank Na Web Pmt</t>
        </is>
      </c>
      <c r="B23" s="1" t="n"/>
      <c r="C23" s="3" t="n"/>
      <c r="D23" s="1" t="n"/>
      <c r="E23" s="1" t="n"/>
      <c r="F23" s="3" t="n"/>
      <c r="G23" s="1" t="n"/>
      <c r="H23" s="1" t="n"/>
      <c r="I23" s="3" t="n"/>
      <c r="J23" s="1" t="n"/>
      <c r="K23" s="3" t="n"/>
      <c r="L23" s="1" t="n"/>
      <c r="M23" s="1" t="n"/>
      <c r="N23" s="3">
        <f>SUM(B23,C23,D23,E23,F23,G23,H23,I23,J23,K23,L23,M23)</f>
        <v/>
      </c>
      <c r="O23" s="1" t="inlineStr">
        <is>
          <t>REVIEW</t>
        </is>
      </c>
      <c r="P23" s="6">
        <f>703</f>
        <v/>
      </c>
    </row>
    <row r="24">
      <c r="A24" s="1" t="inlineStr">
        <is>
          <t>POS Mac Amazon.Com*TN0 Seattle WA</t>
        </is>
      </c>
      <c r="B24" s="1" t="n"/>
      <c r="C24" s="3" t="n"/>
      <c r="D24" s="1" t="n"/>
      <c r="E24" s="1" t="n"/>
      <c r="F24" s="3" t="n"/>
      <c r="G24" s="1" t="n"/>
      <c r="H24" s="1" t="n"/>
      <c r="I24" s="3" t="n"/>
      <c r="J24" s="1" t="n"/>
      <c r="K24" s="3" t="n"/>
      <c r="L24" s="1" t="n"/>
      <c r="M24" s="1" t="n"/>
      <c r="N24" s="3">
        <f>SUM(B24,C24,D24,E24,F24,G24,H24,I24,J24,K24,L24,M24)</f>
        <v/>
      </c>
      <c r="O24" s="1" t="inlineStr">
        <is>
          <t>REVIEW</t>
        </is>
      </c>
      <c r="P24" s="6" t="n"/>
    </row>
    <row r="25">
      <c r="A25" s="1" t="inlineStr">
        <is>
          <t>POS Mac Amazon.Com*Mz5 Seattle WA</t>
        </is>
      </c>
      <c r="B25" s="1" t="n"/>
      <c r="C25" s="3" t="n"/>
      <c r="D25" s="1" t="n"/>
      <c r="E25" s="1" t="n"/>
      <c r="F25" s="3" t="n"/>
      <c r="G25" s="1" t="n"/>
      <c r="H25" s="1" t="n"/>
      <c r="I25" s="3" t="n"/>
      <c r="J25" s="1" t="n"/>
      <c r="K25" s="3" t="n"/>
      <c r="L25" s="1" t="n"/>
      <c r="M25" s="1" t="n"/>
      <c r="N25" s="3">
        <f>SUM(B25,C25,D25,E25,F25,G25,H25,I25,J25,K25,L25,M25)</f>
        <v/>
      </c>
      <c r="O25" s="1" t="inlineStr">
        <is>
          <t>REVIEW</t>
        </is>
      </c>
      <c r="P25" s="6" t="n"/>
    </row>
    <row r="26">
      <c r="A26" s="1" t="inlineStr">
        <is>
          <t>POS Mac Amazon.Com*Ge2 Seattle WA</t>
        </is>
      </c>
      <c r="B26" s="1" t="n"/>
      <c r="C26" s="3" t="n"/>
      <c r="D26" s="1" t="n"/>
      <c r="E26" s="1" t="n"/>
      <c r="F26" s="3" t="n"/>
      <c r="G26" s="1" t="n"/>
      <c r="H26" s="1" t="n"/>
      <c r="I26" s="3" t="n"/>
      <c r="J26" s="1" t="n"/>
      <c r="K26" s="3" t="n"/>
      <c r="L26" s="1" t="n"/>
      <c r="M26" s="1" t="n"/>
      <c r="N26" s="3">
        <f>SUM(B26,C26,D26,E26,F26,G26,H26,I26,J26,K26,L26,M26)</f>
        <v/>
      </c>
      <c r="O26" s="1" t="inlineStr">
        <is>
          <t>REVIEW</t>
        </is>
      </c>
      <c r="P26" s="6" t="n"/>
    </row>
    <row r="27">
      <c r="A27" s="1" t="inlineStr">
        <is>
          <t>POS Mac Amazon.Com*V25 Seattle WA</t>
        </is>
      </c>
      <c r="B27" s="1" t="n"/>
      <c r="C27" s="3" t="n"/>
      <c r="D27" s="1" t="n"/>
      <c r="E27" s="1" t="n"/>
      <c r="F27" s="3" t="n"/>
      <c r="G27" s="1" t="n"/>
      <c r="H27" s="1" t="n"/>
      <c r="I27" s="3" t="n"/>
      <c r="J27" s="1" t="n"/>
      <c r="K27" s="3" t="n"/>
      <c r="L27" s="1" t="n"/>
      <c r="M27" s="1" t="n"/>
      <c r="N27" s="3">
        <f>SUM(B27,C27,D27,E27,F27,G27,H27,I27,J27,K27,L27,M27)</f>
        <v/>
      </c>
      <c r="O27" s="1" t="inlineStr">
        <is>
          <t>REVIEW</t>
        </is>
      </c>
      <c r="P27" s="6" t="n"/>
    </row>
    <row r="28">
      <c r="A28" s="1" t="inlineStr">
        <is>
          <t>POS Mac Amazon.Com*Za2 Seattle WA</t>
        </is>
      </c>
      <c r="B28" s="1" t="n"/>
      <c r="C28" s="3" t="n"/>
      <c r="D28" s="1" t="n"/>
      <c r="E28" s="1" t="n"/>
      <c r="F28" s="3" t="n"/>
      <c r="G28" s="1" t="n"/>
      <c r="H28" s="1" t="n"/>
      <c r="I28" s="3" t="n"/>
      <c r="J28" s="1" t="n"/>
      <c r="K28" s="3" t="n"/>
      <c r="L28" s="1" t="n"/>
      <c r="M28" s="1" t="n"/>
      <c r="N28" s="3">
        <f>SUM(B28,C28,D28,E28,F28,G28,H28,I28,J28,K28,L28,M28)</f>
        <v/>
      </c>
      <c r="O28" s="1" t="inlineStr">
        <is>
          <t>REVIEW</t>
        </is>
      </c>
      <c r="P28" s="6" t="n"/>
    </row>
    <row r="29">
      <c r="A29" s="1" t="inlineStr">
        <is>
          <t>POS Mac Amazon.Com*Au5 Seattle WA</t>
        </is>
      </c>
      <c r="B29" s="1" t="n"/>
      <c r="C29" s="3" t="n"/>
      <c r="D29" s="1" t="n"/>
      <c r="E29" s="1" t="n"/>
      <c r="F29" s="3" t="n"/>
      <c r="G29" s="1" t="n"/>
      <c r="H29" s="1" t="n"/>
      <c r="I29" s="3" t="n"/>
      <c r="J29" s="1" t="n"/>
      <c r="K29" s="3" t="n"/>
      <c r="L29" s="1" t="n"/>
      <c r="M29" s="1" t="n"/>
      <c r="N29" s="3">
        <f>SUM(B29,C29,D29,E29,F29,G29,H29,I29,J29,K29,L29,M29)</f>
        <v/>
      </c>
      <c r="O29" s="1" t="inlineStr">
        <is>
          <t>REVIEW</t>
        </is>
      </c>
      <c r="P29" s="6" t="n"/>
    </row>
    <row r="30">
      <c r="A30" s="1" t="inlineStr">
        <is>
          <t>POS Mac Amazon.Com*Bq9 Seattle WA</t>
        </is>
      </c>
      <c r="B30" s="1" t="n"/>
      <c r="C30" s="3" t="n"/>
      <c r="D30" s="1" t="n"/>
      <c r="E30" s="1" t="n"/>
      <c r="F30" s="3" t="n"/>
      <c r="G30" s="1" t="n"/>
      <c r="H30" s="1" t="n"/>
      <c r="I30" s="3" t="n"/>
      <c r="J30" s="1" t="n"/>
      <c r="K30" s="3" t="n"/>
      <c r="L30" s="1" t="n"/>
      <c r="M30" s="1" t="n"/>
      <c r="N30" s="3">
        <f>SUM(B30,C30,D30,E30,F30,G30,H30,I30,J30,K30,L30,M30)</f>
        <v/>
      </c>
      <c r="O30" s="1" t="inlineStr">
        <is>
          <t>REVIEW</t>
        </is>
      </c>
      <c r="P30" s="6" t="n"/>
    </row>
    <row r="31">
      <c r="A31" s="1" t="inlineStr">
        <is>
          <t>Bill Pay:New York State Ins 237224 4Bq1P6Kr</t>
        </is>
      </c>
      <c r="B31" s="1" t="n"/>
      <c r="C31" s="3" t="n"/>
      <c r="D31" s="1" t="n"/>
      <c r="E31" s="1" t="n"/>
      <c r="F31" s="3" t="n"/>
      <c r="G31" s="1" t="n"/>
      <c r="H31" s="1" t="n"/>
      <c r="I31" s="3" t="n"/>
      <c r="J31" s="1" t="n"/>
      <c r="K31" s="3" t="n"/>
      <c r="L31" s="1" t="n"/>
      <c r="M31" s="1" t="n"/>
      <c r="N31" s="3">
        <f>SUM(B31,C31,D31,E31,F31,G31,H31,I31,J31,K31,L31,M31)</f>
        <v/>
      </c>
      <c r="O31" s="1" t="inlineStr">
        <is>
          <t>REVIEW</t>
        </is>
      </c>
      <c r="P31" s="6" t="n"/>
    </row>
    <row r="32">
      <c r="A32" s="1" t="inlineStr">
        <is>
          <t>Amazon.Com*N22Fjseattlewa US</t>
        </is>
      </c>
      <c r="B32" s="1" t="n"/>
      <c r="C32" s="3" t="n"/>
      <c r="D32" s="1" t="n"/>
      <c r="E32" s="1" t="n"/>
      <c r="F32" s="3" t="n"/>
      <c r="G32" s="1" t="n"/>
      <c r="H32" s="1" t="n"/>
      <c r="I32" s="3" t="n"/>
      <c r="J32" s="1" t="n"/>
      <c r="K32" s="3" t="n"/>
      <c r="L32" s="1" t="n"/>
      <c r="M32" s="1" t="n"/>
      <c r="N32" s="3">
        <f>SUM(B32,C32,D32,E32,F32,G32,H32,I32,J32,K32,L32,M32)</f>
        <v/>
      </c>
      <c r="O32" s="1" t="inlineStr">
        <is>
          <t>REVIEW</t>
        </is>
      </c>
      <c r="P32" s="6" t="n"/>
    </row>
    <row r="33">
      <c r="A33" s="1" t="inlineStr">
        <is>
          <t>Total</t>
        </is>
      </c>
      <c r="B33" s="3">
        <f>SUM(B2:B32)</f>
        <v/>
      </c>
      <c r="C33" s="3">
        <f>SUM(C2:C32)</f>
        <v/>
      </c>
      <c r="D33" s="3">
        <f>SUM(D2:D32)</f>
        <v/>
      </c>
      <c r="E33" s="3">
        <f>SUM(E2:E32)</f>
        <v/>
      </c>
      <c r="F33" s="3">
        <f>SUM(F2:F32)</f>
        <v/>
      </c>
      <c r="G33" s="3">
        <f>SUM(G2:G32)</f>
        <v/>
      </c>
      <c r="H33" s="3">
        <f>SUM(H2:H32)</f>
        <v/>
      </c>
      <c r="I33" s="3">
        <f>SUM(I2:I32)</f>
        <v/>
      </c>
      <c r="J33" s="3">
        <f>SUM(J2:J32)</f>
        <v/>
      </c>
      <c r="K33" s="3">
        <f>SUM(K2:K32)</f>
        <v/>
      </c>
      <c r="L33" s="3">
        <f>SUM(L2:L32)</f>
        <v/>
      </c>
      <c r="M33" s="3">
        <f>SUM(M2:M32)</f>
        <v/>
      </c>
      <c r="N33" s="3">
        <f>SUM(B33,C33,D33,E33,F33,G33,H33,I33,J33,K33,L33,M33)</f>
        <v/>
      </c>
      <c r="O33" s="1" t="n"/>
      <c r="P33" s="1">
        <f>SUM(P2:P13)</f>
        <v/>
      </c>
    </row>
    <row r="34"/>
    <row r="35">
      <c r="A35" t="inlineStr">
        <is>
          <t>BEGIN</t>
        </is>
      </c>
    </row>
    <row r="36">
      <c r="A36" t="inlineStr">
        <is>
          <t>ADD</t>
        </is>
      </c>
      <c r="B36">
        <f>B14</f>
        <v/>
      </c>
      <c r="C36" s="6">
        <f>C14</f>
        <v/>
      </c>
      <c r="D36">
        <f>D14</f>
        <v/>
      </c>
      <c r="E36">
        <f>E14</f>
        <v/>
      </c>
      <c r="F36">
        <f>F14</f>
        <v/>
      </c>
      <c r="G36">
        <f>G14</f>
        <v/>
      </c>
      <c r="H36">
        <f>H14</f>
        <v/>
      </c>
      <c r="I36">
        <f>I14</f>
        <v/>
      </c>
      <c r="J36">
        <f>J14</f>
        <v/>
      </c>
      <c r="K36">
        <f>K14</f>
        <v/>
      </c>
      <c r="L36">
        <f>L14</f>
        <v/>
      </c>
      <c r="M36">
        <f>M14</f>
        <v/>
      </c>
    </row>
    <row r="37">
      <c r="A37" t="inlineStr">
        <is>
          <t>LESS</t>
        </is>
      </c>
    </row>
    <row r="38">
      <c r="A38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2026-08-18T04:03:17Z</dcterms:modified>
</cp:coreProperties>
</file>