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2" activeTab="1" autoFilterDateGrouping="1"/>
  </bookViews>
  <sheets>
    <sheet name="CHASE #3444" sheetId="1" state="visible" r:id="rId1"/>
    <sheet name="CHASE DETIAL#3444" sheetId="2" state="visible" r:id="rId2"/>
    <sheet name="CHASE CC#5235" sheetId="3" state="visible" r:id="rId3"/>
    <sheet name="Sheet3" sheetId="4" state="visible" r:id="rId4"/>
  </sheets>
  <definedNames>
    <definedName name="_xlnm._FilterDatabase" localSheetId="0" hidden="1">'CHASE #3444'!$A$2:$S$15</definedName>
    <definedName name="_xlnm._FilterDatabase" localSheetId="1" hidden="1">'CHASE DETIAL#3444'!$A$1:$O$41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2" fontId="0" fillId="0" borderId="0" pivotButton="0" quotePrefix="0" xfId="0"/>
    <xf numFmtId="16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7" fontId="0" fillId="0" borderId="1" applyAlignment="1" pivotButton="0" quotePrefix="0" xfId="0">
      <alignment horizontal="center" vertical="center"/>
    </xf>
    <xf numFmtId="17" fontId="1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B11" sqref="B11"/>
    </sheetView>
  </sheetViews>
  <sheetFormatPr baseColWidth="8" defaultRowHeight="15"/>
  <cols>
    <col width="16" customWidth="1" min="1" max="1"/>
    <col width="22" customWidth="1" min="2" max="19"/>
  </cols>
  <sheetData>
    <row r="1" ht="24" customHeight="1">
      <c r="A1" s="6" t="inlineStr">
        <is>
          <t>CHASE #3444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8" t="n"/>
    </row>
    <row r="2" ht="24" customHeight="1">
      <c r="A2" s="6" t="inlineStr">
        <is>
          <t>MONTH</t>
        </is>
      </c>
      <c r="B2" s="6" t="inlineStr">
        <is>
          <t>BEGIN BALANCE</t>
        </is>
      </c>
      <c r="C2" s="6" t="inlineStr">
        <is>
          <t>CASH / CHECK DEPOSIT</t>
        </is>
      </c>
      <c r="D2" s="6" t="inlineStr">
        <is>
          <t>NO1 SUSHI 88 CORKBBO ACH</t>
        </is>
      </c>
      <c r="E2" s="6" t="inlineStr">
        <is>
          <t>VEOLIA WATER</t>
        </is>
      </c>
      <c r="F2" s="6" t="inlineStr">
        <is>
          <t>ORANGE &amp; ROCKLAND</t>
        </is>
      </c>
      <c r="G2" s="6" t="inlineStr">
        <is>
          <t>WITHDRAWAL BRANCH 0964</t>
        </is>
      </c>
      <c r="H2" s="6" t="inlineStr">
        <is>
          <t>AMAZON</t>
        </is>
      </c>
      <c r="I2" s="6" t="inlineStr">
        <is>
          <t>BILL PAY:VEOLIA WATER NEW Y 200045 6BU1T6KR</t>
        </is>
      </c>
      <c r="J2" s="6" t="inlineStr">
        <is>
          <t>BILL PAY:ORANGE &amp; ROCKLAND 136130 6BQ1P6KR</t>
        </is>
      </c>
      <c r="K2" s="6" t="inlineStr">
        <is>
          <t>INTERNET TRF TO CLIENT-ADDED TRANSFER ACCOUNT</t>
        </is>
      </c>
      <c r="L2" s="6" t="inlineStr">
        <is>
          <t>WITHDRAWAL BRANCH 0964 NEW YORK</t>
        </is>
      </c>
      <c r="M2" s="6" t="inlineStr">
        <is>
          <t>POS MAC AMAZON.COM*NX6 SEATTLE WA</t>
        </is>
      </c>
      <c r="N2" s="6" t="inlineStr">
        <is>
          <t>POS MAC AMAZON.COM*9O5 SEATTLE WA</t>
        </is>
      </c>
      <c r="O2" s="6" t="inlineStr">
        <is>
          <t>POS MAC AMAZON.COM*SB8 SEATTLE WA</t>
        </is>
      </c>
      <c r="P2" s="6" t="inlineStr">
        <is>
          <t>NYS DTF PIT TAX PAYMNT</t>
        </is>
      </c>
      <c r="Q2" s="6" t="inlineStr">
        <is>
          <t>TOTAL CREDIT</t>
        </is>
      </c>
      <c r="R2" s="6" t="inlineStr">
        <is>
          <t>DEBIT</t>
        </is>
      </c>
      <c r="S2" s="6" t="inlineStr">
        <is>
          <t>ENDING BALANCE</t>
        </is>
      </c>
    </row>
    <row r="3">
      <c r="A3" s="9" t="n">
        <v>45383</v>
      </c>
      <c r="B3" s="2" t="n">
        <v>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>
        <f>SUM(C3:P3)</f>
        <v/>
      </c>
      <c r="R3" s="2" t="n"/>
      <c r="S3" s="2">
        <f>B3+Q3-R3</f>
        <v/>
      </c>
    </row>
    <row r="4">
      <c r="A4" s="9" t="n">
        <v>45413</v>
      </c>
      <c r="B4" s="2">
        <f>S3</f>
        <v/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>
        <f>SUM(C4:P4)</f>
        <v/>
      </c>
      <c r="R4" s="2" t="n"/>
      <c r="S4" s="2">
        <f>B4+Q4-R4</f>
        <v/>
      </c>
    </row>
    <row r="5">
      <c r="A5" s="9" t="n">
        <v>45444</v>
      </c>
      <c r="B5" s="2">
        <f>S4</f>
        <v/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>
        <f>SUM(C5:P5)</f>
        <v/>
      </c>
      <c r="R5" s="2" t="n"/>
      <c r="S5" s="2">
        <f>B5+Q5-R5</f>
        <v/>
      </c>
    </row>
    <row r="6">
      <c r="A6" s="9" t="n">
        <v>45474</v>
      </c>
      <c r="B6" s="2">
        <f>S5</f>
        <v/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>
        <f>SUM(C6:P6)</f>
        <v/>
      </c>
      <c r="R6" s="2" t="n"/>
      <c r="S6" s="2">
        <f>B6+Q6-R6</f>
        <v/>
      </c>
    </row>
    <row r="7">
      <c r="A7" s="9" t="n">
        <v>45505</v>
      </c>
      <c r="B7" s="2">
        <f>S6</f>
        <v/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>
        <f>SUM(C7:P7)</f>
        <v/>
      </c>
      <c r="R7" s="2" t="n"/>
      <c r="S7" s="2">
        <f>B7+Q7-R7</f>
        <v/>
      </c>
    </row>
    <row r="8">
      <c r="A8" s="9" t="n">
        <v>45536</v>
      </c>
      <c r="B8" s="2">
        <f>S7</f>
        <v/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>
        <f>SUM(C8:P8)</f>
        <v/>
      </c>
      <c r="R8" s="2" t="n"/>
      <c r="S8" s="2">
        <f>B8+Q8-R8</f>
        <v/>
      </c>
    </row>
    <row r="9">
      <c r="A9" s="9" t="n">
        <v>45566</v>
      </c>
      <c r="B9" s="2">
        <f>S8</f>
        <v/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>
        <f>SUM(C9:P9)</f>
        <v/>
      </c>
      <c r="R9" s="2" t="n"/>
      <c r="S9" s="2">
        <f>B9+Q9-R9</f>
        <v/>
      </c>
    </row>
    <row r="10">
      <c r="A10" s="9" t="n">
        <v>45597</v>
      </c>
      <c r="B10" s="2">
        <f>S9</f>
        <v/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>
        <f>SUM(C10:P10)</f>
        <v/>
      </c>
      <c r="R10" s="2" t="n"/>
      <c r="S10" s="2">
        <f>B10+Q10-R10</f>
        <v/>
      </c>
    </row>
    <row r="11">
      <c r="A11" s="9" t="n">
        <v>45627</v>
      </c>
      <c r="B11" s="2">
        <f>S10</f>
        <v/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>
        <f>SUM(C11:P11)</f>
        <v/>
      </c>
      <c r="R11" s="2" t="n"/>
      <c r="S11" s="2">
        <f>B11+Q11-R11</f>
        <v/>
      </c>
    </row>
    <row r="12">
      <c r="A12" s="9" t="n">
        <v>45658</v>
      </c>
      <c r="B12" s="2">
        <f>S11</f>
        <v/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>
        <f>SUM(C12:P12)</f>
        <v/>
      </c>
      <c r="R12" s="2" t="n"/>
      <c r="S12" s="2">
        <f>B12+Q12-R12</f>
        <v/>
      </c>
    </row>
    <row r="13">
      <c r="A13" s="9" t="n">
        <v>45689</v>
      </c>
      <c r="B13" s="2">
        <f>S12</f>
        <v/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>
        <f>SUM(C13:P13)</f>
        <v/>
      </c>
      <c r="R13" s="2" t="n"/>
      <c r="S13" s="2">
        <f>B13+Q13-R13</f>
        <v/>
      </c>
    </row>
    <row r="14">
      <c r="A14" s="9" t="n">
        <v>45717</v>
      </c>
      <c r="B14" s="2">
        <f>S13</f>
        <v/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>
        <f>SUM(C14:P14)</f>
        <v/>
      </c>
      <c r="R14" s="2" t="n"/>
      <c r="S14" s="2">
        <f>B14+Q14-R14</f>
        <v/>
      </c>
    </row>
    <row r="15">
      <c r="A15" s="1" t="inlineStr">
        <is>
          <t>TOTAL</t>
        </is>
      </c>
      <c r="B15" s="2" t="n"/>
      <c r="C15" s="2">
        <f>SUM(C3:C14)</f>
        <v/>
      </c>
      <c r="D15" s="2">
        <f>SUM(D3:D14)</f>
        <v/>
      </c>
      <c r="E15" s="2">
        <f>SUM(E3:E14)</f>
        <v/>
      </c>
      <c r="F15" s="2">
        <f>SUM(F3:F14)</f>
        <v/>
      </c>
      <c r="G15" s="2">
        <f>SUM(G3:G14)</f>
        <v/>
      </c>
      <c r="H15" s="2">
        <f>SUM(H3:H14)</f>
        <v/>
      </c>
      <c r="I15" s="2">
        <f>SUM(I3:I14)</f>
        <v/>
      </c>
      <c r="J15" s="2">
        <f>SUM(J3:J14)</f>
        <v/>
      </c>
      <c r="K15" s="2">
        <f>SUM(K3:K14)</f>
        <v/>
      </c>
      <c r="L15" s="2">
        <f>SUM(L3:L14)</f>
        <v/>
      </c>
      <c r="M15" s="2">
        <f>SUM(M3:M14)</f>
        <v/>
      </c>
      <c r="N15" s="2">
        <f>SUM(N3:N14)</f>
        <v/>
      </c>
      <c r="O15" s="2">
        <f>SUM(O3:O14)</f>
        <v/>
      </c>
      <c r="P15" s="2">
        <f>SUM(P3:P14)</f>
        <v/>
      </c>
      <c r="Q15" s="2">
        <f>SUM(Q3:Q14)</f>
        <v/>
      </c>
      <c r="R15" s="2">
        <f>SUM(R3:R14)</f>
        <v/>
      </c>
      <c r="S15" s="2">
        <f>S14</f>
        <v/>
      </c>
    </row>
  </sheetData>
  <autoFilter ref="A2:S15"/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2"/>
  <sheetViews>
    <sheetView tabSelected="1" workbookViewId="0">
      <selection activeCell="M2" sqref="M2"/>
    </sheetView>
  </sheetViews>
  <sheetFormatPr baseColWidth="8" defaultRowHeight="15"/>
  <cols>
    <col width="42" customWidth="1" min="1" max="1"/>
    <col width="12" customWidth="1" min="2" max="13"/>
    <col width="14" customWidth="1" min="14" max="14"/>
    <col width="18" customWidth="1" min="15" max="15"/>
  </cols>
  <sheetData>
    <row r="1">
      <c r="A1" s="6" t="inlineStr">
        <is>
          <t>Merchant</t>
        </is>
      </c>
      <c r="B1" s="10">
        <f>'CHASE #3444'!A3</f>
        <v/>
      </c>
      <c r="C1" s="10">
        <f>'CHASE #3444'!A4</f>
        <v/>
      </c>
      <c r="D1" s="10">
        <f>'CHASE #3444'!A5</f>
        <v/>
      </c>
      <c r="E1" s="10">
        <f>'CHASE #3444'!A6</f>
        <v/>
      </c>
      <c r="F1" s="10">
        <f>'CHASE #3444'!A7</f>
        <v/>
      </c>
      <c r="G1" s="10">
        <f>'CHASE #3444'!A8</f>
        <v/>
      </c>
      <c r="H1" s="10">
        <f>'CHASE #3444'!A9</f>
        <v/>
      </c>
      <c r="I1" s="10">
        <f>'CHASE #3444'!A10</f>
        <v/>
      </c>
      <c r="J1" s="10">
        <f>'CHASE #3444'!A11</f>
        <v/>
      </c>
      <c r="K1" s="10">
        <f>'CHASE #3444'!A12</f>
        <v/>
      </c>
      <c r="L1" s="10">
        <f>'CHASE #3444'!A13</f>
        <v/>
      </c>
      <c r="M1" s="10">
        <f>'CHASE #3444'!A14</f>
        <v/>
      </c>
      <c r="N1" s="6" t="inlineStr">
        <is>
          <t>Total</t>
        </is>
      </c>
      <c r="O1" s="6" t="inlineStr">
        <is>
          <t>Category</t>
        </is>
      </c>
    </row>
    <row r="2">
      <c r="A2" s="1" t="inlineStr">
        <is>
          <t>434 / Nys Commission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>
        <f>SUM(B2,C2,D2,E2,F2,G2,H2,I2,J2,K2,L2,M2)</f>
        <v/>
      </c>
      <c r="O2" s="1" t="inlineStr">
        <is>
          <t>GERCORY</t>
        </is>
      </c>
    </row>
    <row r="3">
      <c r="A3" s="1" t="inlineStr">
        <is>
          <t>Amazon Prime*Zh8618Uz3 Amzn.Com/Bill WA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>
        <f>SUM(B3,C3,D3,E3,F3,G3,H3,I3,J3,K3,L3,M3)</f>
        <v/>
      </c>
      <c r="O3" s="1" t="inlineStr">
        <is>
          <t>GERCORY</t>
        </is>
      </c>
    </row>
    <row r="4">
      <c r="A4" s="1" t="inlineStr">
        <is>
          <t>Amazon.Com*N22Fjseattlewa US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>
        <f>SUM(B4,C4,D4,E4,F4,G4,H4,I4,J4,K4,L4,M4)</f>
        <v/>
      </c>
      <c r="O4" s="1" t="inlineStr">
        <is>
          <t>GERCORY</t>
        </is>
      </c>
    </row>
    <row r="5">
      <c r="A5" s="1" t="inlineStr">
        <is>
          <t>Amazon.Comseattlewa US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>
        <f>SUM(B5,C5,D5,E5,F5,G5,H5,I5,J5,K5,L5,M5)</f>
        <v/>
      </c>
      <c r="O5" s="1" t="inlineStr">
        <is>
          <t>GERCORY</t>
        </is>
      </c>
    </row>
    <row r="6">
      <c r="A6" s="1" t="inlineStr">
        <is>
          <t>Amex Epayment ACH Pmt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>
        <f>SUM(B6,C6,D6,E6,F6,G6,H6,I6,J6,K6,L6,M6)</f>
        <v/>
      </c>
      <c r="O6" s="1" t="inlineStr">
        <is>
          <t>GERCORY</t>
        </is>
      </c>
    </row>
    <row r="7">
      <c r="A7" s="1" t="inlineStr">
        <is>
          <t>Arrow Bank Na Web Pmt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>
        <f>SUM(B7,C7,D7,E7,F7,G7,H7,I7,J7,K7,L7,M7)</f>
        <v/>
      </c>
      <c r="O7" s="1" t="inlineStr">
        <is>
          <t>GERCORY</t>
        </is>
      </c>
    </row>
    <row r="8">
      <c r="A8" s="1" t="inlineStr">
        <is>
          <t>Bill Pay:Associated Mutual 210061 Ubq1P6Kr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>
        <f>SUM(B8,C8,D8,E8,F8,G8,H8,I8,J8,K8,L8,M8)</f>
        <v/>
      </c>
      <c r="O8" s="1" t="inlineStr">
        <is>
          <t>GERCORY</t>
        </is>
      </c>
    </row>
    <row r="9">
      <c r="A9" s="1" t="inlineStr">
        <is>
          <t>Bill Pay:New York State Ins 237224 4Bq1P6Kr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>
        <f>SUM(B9,C9,D9,E9,F9,G9,H9,I9,J9,K9,L9,M9)</f>
        <v/>
      </c>
      <c r="O9" s="1" t="inlineStr">
        <is>
          <t>OFFICE EXPENSE</t>
        </is>
      </c>
    </row>
    <row r="10">
      <c r="A10" s="1" t="inlineStr">
        <is>
          <t>Bill Pay:Orange &amp; Rockland 136130 6Bq1P6Kr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>
        <f>SUM(B10,C10,D10,E10,F10,G10,H10,I10,J10,K10,L10,M10)</f>
        <v/>
      </c>
      <c r="O10" s="1" t="inlineStr">
        <is>
          <t>OFFICE EXPENSE</t>
        </is>
      </c>
    </row>
    <row r="11">
      <c r="A11" s="1" t="inlineStr">
        <is>
          <t>Bill Pay:Orange &amp; Rockland 879293 5Bq1P6Kr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>
        <f>SUM(B11,C11,D11,E11,F11,G11,H11,I11,J11,K11,L11,M11)</f>
        <v/>
      </c>
      <c r="O11" s="1" t="inlineStr">
        <is>
          <t>OFFICE EXPENSE</t>
        </is>
      </c>
    </row>
    <row r="12">
      <c r="A12" s="1" t="inlineStr">
        <is>
          <t>Bill Pay:Veolia Water New Y 200045 6Bu1T6Kr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>
        <f>SUM(B12,C12,D12,E12,F12,G12,H12,I12,J12,K12,L12,M12)</f>
        <v/>
      </c>
      <c r="O12" s="1" t="inlineStr">
        <is>
          <t>OFFICE EXPENSE</t>
        </is>
      </c>
    </row>
    <row r="13">
      <c r="A13" s="1" t="inlineStr">
        <is>
          <t>Bill Pay:Veolia Water New Y 200054 Hbu1T6Kr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>
        <f>SUM(B13,C13,D13,E13,F13,G13,H13,I13,J13,K13,L13,M13)</f>
        <v/>
      </c>
      <c r="O13" s="1" t="inlineStr">
        <is>
          <t>OFFICE EXPENSE</t>
        </is>
      </c>
    </row>
    <row r="14">
      <c r="A14" s="1" t="inlineStr">
        <is>
          <t>Citi Card Onlinepayment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>
        <f>SUM(B14,C14,D14,E14,F14,G14,H14,I14,J14,K14,L14,M14)</f>
        <v/>
      </c>
      <c r="O14" s="1" t="inlineStr">
        <is>
          <t>OFFICE EXPENSE</t>
        </is>
      </c>
    </row>
    <row r="15">
      <c r="A15" s="1" t="inlineStr">
        <is>
          <t>Credit One Bank Payment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>
        <f>SUM(B15,C15,D15,E15,F15,G15,H15,I15,J15,K15,L15,M15)</f>
        <v/>
      </c>
      <c r="O15" s="1" t="inlineStr">
        <is>
          <t>OFFICE EXPENSE</t>
        </is>
      </c>
    </row>
    <row r="16">
      <c r="A16" s="1" t="inlineStr">
        <is>
          <t>Discover Bank Net/Mobile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>
        <f>SUM(B16,C16,D16,E16,F16,G16,H16,I16,J16,K16,L16,M16)</f>
        <v/>
      </c>
      <c r="O16" s="1" t="inlineStr">
        <is>
          <t>OFFICE EXPENSE</t>
        </is>
      </c>
    </row>
    <row r="17">
      <c r="A17" s="1" t="inlineStr">
        <is>
          <t>FIVE GUYS 1522 QSR 000001522 TULSA OK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>
        <f>SUM(B17,C17,D17,E17,F17,G17,H17,I17,J17,K17,L17,M17)</f>
        <v/>
      </c>
      <c r="O17" s="1" t="inlineStr">
        <is>
          <t>OFFICE EXPENSE</t>
        </is>
      </c>
    </row>
    <row r="18">
      <c r="A18" s="1" t="inlineStr">
        <is>
          <t>Huntington Banksil Payment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>
        <f>SUM(B18,C18,D18,E18,F18,G18,H18,I18,J18,K18,L18,M18)</f>
        <v/>
      </c>
      <c r="O18" s="1" t="inlineStr">
        <is>
          <t>MEALS</t>
        </is>
      </c>
    </row>
    <row r="19">
      <c r="A19" s="1" t="inlineStr">
        <is>
          <t>Internet Trf To Client-Added Transfer Account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>
        <f>SUM(B19,C19,D19,E19,F19,G19,H19,I19,J19,K19,L19,M19)</f>
        <v/>
      </c>
      <c r="O19" s="1" t="inlineStr">
        <is>
          <t>MEALS</t>
        </is>
      </c>
    </row>
    <row r="20">
      <c r="A20" s="1" t="inlineStr">
        <is>
          <t>Irs Usataxpymt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>
        <f>SUM(B20,C20,D20,E20,F20,G20,H20,I20,J20,K20,L20,M20)</f>
        <v/>
      </c>
      <c r="O20" s="1" t="inlineStr">
        <is>
          <t>MEALS</t>
        </is>
      </c>
    </row>
    <row r="21">
      <c r="A21" s="1" t="inlineStr">
        <is>
          <t>Kindercare Portland OR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>
        <f>SUM(B21,C21,D21,E21,F21,G21,H21,I21,J21,K21,L21,M21)</f>
        <v/>
      </c>
      <c r="O21" s="1" t="inlineStr">
        <is>
          <t>MEALS</t>
        </is>
      </c>
    </row>
    <row r="22">
      <c r="A22" s="1" t="inlineStr">
        <is>
          <t>No1 Sushi 88 Corkbbo ACH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>
        <f>SUM(B22,C22,D22,E22,F22,G22,H22,I22,J22,K22,L22,M22)</f>
        <v/>
      </c>
      <c r="O22" s="1" t="inlineStr">
        <is>
          <t>MEALS</t>
        </is>
      </c>
    </row>
    <row r="23">
      <c r="A23" s="1" t="inlineStr">
        <is>
          <t>NORDSTROM DIRECT http://shop.nordstrom WA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>
        <f>SUM(B23,C23,D23,E23,F23,G23,H23,I23,J23,K23,L23,M23)</f>
        <v/>
      </c>
      <c r="O23" s="1" t="inlineStr">
        <is>
          <t>MEALS</t>
        </is>
      </c>
    </row>
    <row r="24">
      <c r="A24" s="1" t="inlineStr">
        <is>
          <t>Nys Dtf Pit Tax Paymnt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>
        <f>SUM(B24,C24,D24,E24,F24,G24,H24,I24,J24,K24,L24,M24)</f>
        <v/>
      </c>
      <c r="O24" s="1" t="inlineStr">
        <is>
          <t>MEALS</t>
        </is>
      </c>
    </row>
    <row r="25">
      <c r="A25" s="1" t="inlineStr">
        <is>
          <t>PANDA EXPRESS TACOMA WA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SUM(B25,C25,D25,E25,F25,G25,H25,I25,J25,K25,L25,M25)</f>
        <v/>
      </c>
      <c r="O25" s="1" t="inlineStr">
        <is>
          <t>MEALS</t>
        </is>
      </c>
    </row>
    <row r="26">
      <c r="A26" s="1" t="inlineStr">
        <is>
          <t>Paypal Inst Xfer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>
        <f>SUM(B26,C26,D26,E26,F26,G26,H26,I26,J26,K26,L26,M26)</f>
        <v/>
      </c>
      <c r="O26" s="1" t="inlineStr">
        <is>
          <t>MEALS</t>
        </is>
      </c>
    </row>
    <row r="27">
      <c r="A27" s="1" t="inlineStr">
        <is>
          <t>POS Mac Amazon.Com*9O5 Seattle WA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>
        <f>SUM(B27,C27,D27,E27,F27,G27,H27,I27,J27,K27,L27,M27)</f>
        <v/>
      </c>
      <c r="O27" s="1" t="inlineStr">
        <is>
          <t>MEALS</t>
        </is>
      </c>
    </row>
    <row r="28">
      <c r="A28" s="1" t="inlineStr">
        <is>
          <t>POS Mac Amazon.Com*Au5 Seattle WA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>
        <f>SUM(B28,C28,D28,E28,F28,G28,H28,I28,J28,K28,L28,M28)</f>
        <v/>
      </c>
      <c r="O28" s="1" t="inlineStr">
        <is>
          <t>MEALS</t>
        </is>
      </c>
    </row>
    <row r="29">
      <c r="A29" s="1" t="inlineStr">
        <is>
          <t>POS Mac Amazon.Com*Bq9 Seattle WA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>
        <f>SUM(B29,C29,D29,E29,F29,G29,H29,I29,J29,K29,L29,M29)</f>
        <v/>
      </c>
      <c r="O29" s="1" t="inlineStr">
        <is>
          <t>SUPPLY</t>
        </is>
      </c>
    </row>
    <row r="30">
      <c r="A30" s="1" t="inlineStr">
        <is>
          <t>POS Mac Amazon.Com*Ge2 Seattle WA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>
        <f>SUM(B30,C30,D30,E30,F30,G30,H30,I30,J30,K30,L30,M30)</f>
        <v/>
      </c>
      <c r="O30" s="1" t="inlineStr">
        <is>
          <t>SUPPLY</t>
        </is>
      </c>
    </row>
    <row r="31">
      <c r="A31" s="1" t="inlineStr">
        <is>
          <t>POS Mac Amazon.Com*Mz5 Seattle WA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>
        <f>SUM(B31,C31,D31,E31,F31,G31,H31,I31,J31,K31,L31,M31)</f>
        <v/>
      </c>
      <c r="O31" s="1" t="inlineStr">
        <is>
          <t>SUPPLY</t>
        </is>
      </c>
    </row>
    <row r="32">
      <c r="A32" s="1" t="inlineStr">
        <is>
          <t>POS Mac Amazon.Com*Nx6 Seattle WA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>
        <f>SUM(B32,C32,D32,E32,F32,G32,H32,I32,J32,K32,L32,M32)</f>
        <v/>
      </c>
      <c r="O32" s="1" t="inlineStr">
        <is>
          <t>SUPPLY</t>
        </is>
      </c>
    </row>
    <row r="33">
      <c r="A33" s="1" t="inlineStr">
        <is>
          <t>POS Mac Amazon.Com*Sb8 Seattle WA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>
        <f>SUM(B33,C33,D33,E33,F33,G33,H33,I33,J33,K33,L33,M33)</f>
        <v/>
      </c>
      <c r="O33" s="1" t="inlineStr">
        <is>
          <t>SUPPLY</t>
        </is>
      </c>
    </row>
    <row r="34">
      <c r="A34" s="1" t="inlineStr">
        <is>
          <t>POS Mac Amazon.Com*TN0 Seattle WA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>
        <f>SUM(B34,C34,D34,E34,F34,G34,H34,I34,J34,K34,L34,M34)</f>
        <v/>
      </c>
      <c r="O34" s="1" t="inlineStr">
        <is>
          <t>SUPPLY</t>
        </is>
      </c>
    </row>
    <row r="35">
      <c r="A35" s="1" t="inlineStr">
        <is>
          <t>POS Mac Amazon.Com*V25 Seattle WA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>
        <f>SUM(B35,C35,D35,E35,F35,G35,H35,I35,J35,K35,L35,M35)</f>
        <v/>
      </c>
      <c r="O35" s="1" t="inlineStr">
        <is>
          <t>SUPPLY</t>
        </is>
      </c>
    </row>
    <row r="36">
      <c r="A36" s="1" t="inlineStr">
        <is>
          <t>POS Mac Amazon.Com*Yr6 Seattle WA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>
        <f>SUM(B36,C36,D36,E36,F36,G36,H36,I36,J36,K36,L36,M36)</f>
        <v/>
      </c>
      <c r="O36" s="1" t="inlineStr">
        <is>
          <t>SUPPLY</t>
        </is>
      </c>
    </row>
    <row r="37">
      <c r="A37" s="1" t="inlineStr">
        <is>
          <t>POS Mac Amazon.Com*Za2 Seattle WA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>
        <f>SUM(B37,C37,D37,E37,F37,G37,H37,I37,J37,K37,L37,M37)</f>
        <v/>
      </c>
      <c r="O37" s="1" t="inlineStr">
        <is>
          <t>SUPPLY</t>
        </is>
      </c>
    </row>
    <row r="38">
      <c r="A38" s="1" t="inlineStr">
        <is>
          <t>Prog Casualty Ins Prem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>
        <f>SUM(B38,C38,D38,E38,F38,G38,H38,I38,J38,K38,L38,M38)</f>
        <v/>
      </c>
      <c r="O38" s="1" t="inlineStr">
        <is>
          <t>SUPPLY</t>
        </is>
      </c>
    </row>
    <row r="39">
      <c r="A39" s="1" t="inlineStr">
        <is>
          <t>WHOLEFDS CHB #10588 000010588 UNIVERSITY PL WA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>
        <f>SUM(B39,C39,D39,E39,F39,G39,H39,I39,J39,K39,L39,M39)</f>
        <v/>
      </c>
      <c r="O39" s="1" t="inlineStr">
        <is>
          <t>SUPPLY</t>
        </is>
      </c>
    </row>
    <row r="40">
      <c r="A40" s="1" t="inlineStr">
        <is>
          <t>Withdrawal Branch 0964 New York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>
        <f>SUM(B40,C40,D40,E40,F40,G40,H40,I40,J40,K40,L40,M40)</f>
        <v/>
      </c>
      <c r="O40" s="1" t="inlineStr">
        <is>
          <t>SUPPLY</t>
        </is>
      </c>
    </row>
    <row r="41">
      <c r="A41" s="1" t="inlineStr">
        <is>
          <t>discover Bank Net/Mobile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>
        <f>SUM(B41,C41,D41,E41,F41,G41,H41,I41,J41,K41,L41,M41)</f>
        <v/>
      </c>
      <c r="O41" s="1" t="n"/>
    </row>
    <row r="42">
      <c r="A42" t="inlineStr">
        <is>
          <t>Total</t>
        </is>
      </c>
      <c r="B42" s="3">
        <f>SUM(B2:B41)</f>
        <v/>
      </c>
      <c r="C42" s="3">
        <f>SUM(C2:C41)</f>
        <v/>
      </c>
      <c r="D42" s="3">
        <f>SUM(D2:D41)</f>
        <v/>
      </c>
      <c r="E42" s="3">
        <f>SUM(E2:E41)</f>
        <v/>
      </c>
      <c r="F42" s="3">
        <f>SUM(F2:F41)</f>
        <v/>
      </c>
      <c r="G42" s="3">
        <f>SUM(G2:G41)</f>
        <v/>
      </c>
      <c r="H42" s="3">
        <f>SUM(H2:H41)</f>
        <v/>
      </c>
      <c r="I42" s="3">
        <f>SUM(I2:I41)</f>
        <v/>
      </c>
      <c r="J42" s="3">
        <f>SUM(J2:J41)</f>
        <v/>
      </c>
      <c r="K42" s="3">
        <f>SUM(K2:K41)</f>
        <v/>
      </c>
      <c r="L42" s="3">
        <f>SUM(L2:L41)</f>
        <v/>
      </c>
      <c r="M42" s="3">
        <f>SUM(M2:M41)</f>
        <v/>
      </c>
      <c r="N42" s="3">
        <f>SUM(B42,C42,D42,E42,F42,G42,H42,I42,J42,K42,L42,M42)</f>
        <v/>
      </c>
    </row>
  </sheetData>
  <autoFilter ref="A1:O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I14" sqref="I14"/>
    </sheetView>
  </sheetViews>
  <sheetFormatPr baseColWidth="8" defaultRowHeight="15"/>
  <cols>
    <col width="50.7109375" bestFit="1" customWidth="1" min="1" max="1"/>
    <col width="7.140625" bestFit="1" customWidth="1" min="2" max="2"/>
    <col width="7.85546875" bestFit="1" customWidth="1" min="3" max="3"/>
    <col width="7" bestFit="1" customWidth="1" min="4" max="4"/>
    <col width="6.28515625" bestFit="1" customWidth="1" min="5" max="5"/>
    <col width="7.42578125" bestFit="1" customWidth="1" min="6" max="6"/>
    <col width="7.140625" bestFit="1" customWidth="1" min="7" max="7"/>
    <col width="7" bestFit="1" customWidth="1" min="8" max="8"/>
    <col width="7.5703125" bestFit="1" customWidth="1" min="9" max="9"/>
    <col width="7.28515625" bestFit="1" customWidth="1" min="10" max="10"/>
    <col width="6.85546875" bestFit="1" customWidth="1" min="11" max="11"/>
    <col width="7.140625" bestFit="1" customWidth="1" min="12" max="12"/>
    <col width="7.7109375" bestFit="1" customWidth="1" min="13" max="13"/>
    <col width="7.140625" bestFit="1" customWidth="1" min="14" max="14"/>
    <col width="5.7109375" bestFit="1" customWidth="1" min="15" max="15"/>
    <col width="15.5703125" bestFit="1" customWidth="1" min="16" max="16"/>
    <col width="6.28515625" bestFit="1" customWidth="1" min="17" max="17"/>
  </cols>
  <sheetData>
    <row r="1">
      <c r="A1" s="6" t="inlineStr">
        <is>
          <t>Merchant</t>
        </is>
      </c>
      <c r="B1" s="10" t="n">
        <v>45748</v>
      </c>
      <c r="C1" s="10" t="n">
        <v>45778</v>
      </c>
      <c r="D1" s="10" t="n">
        <v>45809</v>
      </c>
      <c r="E1" s="10" t="n">
        <v>45839</v>
      </c>
      <c r="F1" s="10" t="n">
        <v>45870</v>
      </c>
      <c r="G1" s="10" t="n">
        <v>45901</v>
      </c>
      <c r="H1" s="10" t="n">
        <v>45931</v>
      </c>
      <c r="I1" s="10" t="n">
        <v>45962</v>
      </c>
      <c r="J1" s="10" t="n">
        <v>45992</v>
      </c>
      <c r="K1" s="10" t="n">
        <v>46023</v>
      </c>
      <c r="L1" s="10" t="n">
        <v>46054</v>
      </c>
      <c r="M1" s="10" t="n">
        <v>46082</v>
      </c>
      <c r="N1" s="10" t="n">
        <v>46113</v>
      </c>
      <c r="O1" s="6" t="inlineStr">
        <is>
          <t>Total</t>
        </is>
      </c>
      <c r="P1" s="6" t="inlineStr">
        <is>
          <t>Category</t>
        </is>
      </c>
      <c r="Q1" s="4" t="n">
        <v>46240</v>
      </c>
    </row>
    <row r="2">
      <c r="A2" s="1" t="inlineStr">
        <is>
          <t>434 / Nys Commission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>
        <f>SUM(B2,C2,D2,E2,F2,G2,H2,I2,J2,K2,L2,M2,N2,Q2)</f>
        <v/>
      </c>
      <c r="P2" s="1" t="inlineStr">
        <is>
          <t>GERCORY</t>
        </is>
      </c>
    </row>
    <row r="3">
      <c r="A3" s="1" t="inlineStr">
        <is>
          <t>Amazon Prime*Zh8618Uz3 Amzn.Com/Bill WA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>
        <f>SUM(B3,C3,D3,E3,F3,G3,H3,I3,J3,K3,L3,M3,N3,Q3)</f>
        <v/>
      </c>
      <c r="P3" s="1" t="inlineStr">
        <is>
          <t>GERCORY</t>
        </is>
      </c>
    </row>
    <row r="4">
      <c r="A4" s="1" t="inlineStr">
        <is>
          <t>Amazon.Com*N22Fjseattlewa US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>
        <f>SUM(B4,C4,D4,E4,F4,G4,H4,I4,J4,K4,L4,M4,N4,Q4)</f>
        <v/>
      </c>
      <c r="P4" s="1" t="inlineStr">
        <is>
          <t>GERCORY</t>
        </is>
      </c>
    </row>
    <row r="5">
      <c r="A5" s="1" t="inlineStr">
        <is>
          <t>Amazon.Comseattlewa US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>
        <f>SUM(B5,C5,D5,E5,F5,G5,H5,I5,J5,K5,L5,M5,N5,Q5)</f>
        <v/>
      </c>
      <c r="P5" s="1" t="inlineStr">
        <is>
          <t>GERCORY</t>
        </is>
      </c>
    </row>
    <row r="6">
      <c r="A6" s="1" t="inlineStr">
        <is>
          <t>Amex Epayment ACH Pmt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>
        <f>SUM(B6,C6,D6,E6,F6,G6,H6,I6,J6,K6,L6,M6,N6,Q6)</f>
        <v/>
      </c>
      <c r="P6" s="1" t="inlineStr">
        <is>
          <t>GERCORY</t>
        </is>
      </c>
    </row>
    <row r="7">
      <c r="A7" s="1" t="inlineStr">
        <is>
          <t>Arrow Bank Na Web Pmt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>
        <f>SUM(B7,C7,D7,E7,F7,G7,H7,I7,J7,K7,L7,M7,N7,Q7)</f>
        <v/>
      </c>
      <c r="P7" s="1" t="inlineStr">
        <is>
          <t>GERCORY</t>
        </is>
      </c>
    </row>
    <row r="8">
      <c r="A8" s="1" t="inlineStr">
        <is>
          <t>Bill Pay:Associated Mutual 210061 Ubq1P6Kr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>
        <f>SUM(B8,C8,D8,E8,F8,G8,H8,I8,J8,K8,L8,M8,N8,Q8)</f>
        <v/>
      </c>
      <c r="P8" s="1" t="inlineStr">
        <is>
          <t>GERCORY</t>
        </is>
      </c>
    </row>
    <row r="9">
      <c r="A9" s="1" t="inlineStr">
        <is>
          <t>Bill Pay:New York State Ins 237224 4Bq1P6Kr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>
        <f>SUM(B9,C9,D9,E9,F9,G9,H9,I9,J9,K9,L9,M9,N9,Q9)</f>
        <v/>
      </c>
      <c r="P9" s="1" t="inlineStr">
        <is>
          <t>OFFICE EXPENSE</t>
        </is>
      </c>
    </row>
    <row r="10">
      <c r="A10" s="1" t="inlineStr">
        <is>
          <t>Bill Pay:Orange &amp; Rockland 136130 6Bq1P6Kr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>
        <f>SUM(B10,C10,D10,E10,F10,G10,H10,I10,J10,K10,L10,M10,N10,Q10)</f>
        <v/>
      </c>
      <c r="P10" s="1" t="inlineStr">
        <is>
          <t>OFFICE EXPENSE</t>
        </is>
      </c>
    </row>
    <row r="11">
      <c r="A11" s="1" t="inlineStr">
        <is>
          <t>Bill Pay:Orange &amp; Rockland 879293 5Bq1P6Kr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>
        <f>SUM(B11,C11,D11,E11,F11,G11,H11,I11,J11,K11,L11,M11,N11,Q11)</f>
        <v/>
      </c>
      <c r="P11" s="1" t="inlineStr">
        <is>
          <t>OFFICE EXPENSE</t>
        </is>
      </c>
    </row>
    <row r="12">
      <c r="A12" s="1" t="inlineStr">
        <is>
          <t>Bill Pay:Veolia Water New Y 200045 6Bu1T6Kr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>
        <f>SUM(B12,C12,D12,E12,F12,G12,H12,I12,J12,K12,L12,M12,N12,Q12)</f>
        <v/>
      </c>
      <c r="P12" s="1" t="inlineStr">
        <is>
          <t>OFFICE EXPENSE</t>
        </is>
      </c>
    </row>
    <row r="13">
      <c r="A13" s="1" t="inlineStr">
        <is>
          <t>Bill Pay:Veolia Water New Y 200054 Hbu1T6Kr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>
        <f>SUM(B13,C13,D13,E13,F13,G13,H13,I13,J13,K13,L13,M13,N13,Q13)</f>
        <v/>
      </c>
      <c r="P13" s="1" t="inlineStr">
        <is>
          <t>OFFICE EXPENSE</t>
        </is>
      </c>
    </row>
    <row r="14">
      <c r="A14" s="1" t="inlineStr">
        <is>
          <t>Citi Card Onlinepayment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>
        <f>SUM(B14,C14,D14,E14,F14,G14,H14,I14,J14,K14,L14,M14,N14,Q14)</f>
        <v/>
      </c>
      <c r="P14" s="1" t="inlineStr">
        <is>
          <t>OFFICE EXPENSE</t>
        </is>
      </c>
    </row>
    <row r="15">
      <c r="A15" s="1" t="inlineStr">
        <is>
          <t>Credit One Bank Payment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>
        <f>SUM(B15,C15,D15,E15,F15,G15,H15,I15,J15,K15,L15,M15,N15,Q15)</f>
        <v/>
      </c>
      <c r="P15" s="1" t="inlineStr">
        <is>
          <t>OFFICE EXPENSE</t>
        </is>
      </c>
    </row>
    <row r="16">
      <c r="A16" s="1" t="inlineStr">
        <is>
          <t>Discover Bank Net/Mobile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>
        <f>SUM(B16,C16,D16,E16,F16,G16,H16,I16,J16,K16,L16,M16,N16,Q16)</f>
        <v/>
      </c>
      <c r="P16" s="1" t="inlineStr">
        <is>
          <t>OFFICE EXPENSE</t>
        </is>
      </c>
    </row>
    <row r="17">
      <c r="A17" s="1" t="inlineStr">
        <is>
          <t>FIVE GUYS 1522 QSR 000001522 TULSA OK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>
        <f>SUM(B17,C17,D17,E17,F17,G17,H17,I17,J17,K17,L17,M17,N17,Q17)</f>
        <v/>
      </c>
      <c r="P17" s="1" t="inlineStr">
        <is>
          <t>OFFICE EXPENSE</t>
        </is>
      </c>
    </row>
    <row r="18">
      <c r="A18" s="1" t="inlineStr">
        <is>
          <t>Huntington Banksil Payment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>
        <f>SUM(B18,C18,D18,E18,F18,G18,H18,I18,J18,K18,L18,M18,N18,Q18)</f>
        <v/>
      </c>
      <c r="P18" s="1" t="inlineStr">
        <is>
          <t>MEALS</t>
        </is>
      </c>
    </row>
    <row r="19">
      <c r="A19" s="1" t="inlineStr">
        <is>
          <t>Internet Trf To Client-Added Transfer Account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>
        <f>SUM(B19,C19,D19,E19,F19,G19,H19,I19,J19,K19,L19,M19,N19,Q19)</f>
        <v/>
      </c>
      <c r="P19" s="1" t="inlineStr">
        <is>
          <t>MEALS</t>
        </is>
      </c>
    </row>
    <row r="20">
      <c r="A20" s="1" t="inlineStr">
        <is>
          <t>Irs Usataxpymt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>
        <f>SUM(B20,C20,D20,E20,F20,G20,H20,I20,J20,K20,L20,M20,N20,Q20)</f>
        <v/>
      </c>
      <c r="P20" s="1" t="inlineStr">
        <is>
          <t>MEALS</t>
        </is>
      </c>
    </row>
    <row r="21">
      <c r="A21" s="1" t="inlineStr">
        <is>
          <t>Kindercare Portland OR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>
        <f>SUM(B21,C21,D21,E21,F21,G21,H21,I21,J21,K21,L21,M21,N21,Q21)</f>
        <v/>
      </c>
      <c r="P21" s="1" t="inlineStr">
        <is>
          <t>MEALS</t>
        </is>
      </c>
    </row>
    <row r="22">
      <c r="A22" s="1" t="inlineStr">
        <is>
          <t>No1 Sushi 88 Corkbbo ACH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>
        <f>SUM(B22,C22,D22,E22,F22,G22,H22,I22,J22,K22,L22,M22,N22,Q22)</f>
        <v/>
      </c>
      <c r="P22" s="1" t="inlineStr">
        <is>
          <t>MEALS</t>
        </is>
      </c>
    </row>
    <row r="23">
      <c r="A23" s="1" t="inlineStr">
        <is>
          <t>NORDSTROM DIRECT http://shop.nordstrom WA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>
        <f>SUM(B23,C23,D23,E23,F23,G23,H23,I23,J23,K23,L23,M23,N23,Q23)</f>
        <v/>
      </c>
      <c r="P23" s="1" t="inlineStr">
        <is>
          <t>MEALS</t>
        </is>
      </c>
    </row>
    <row r="24">
      <c r="A24" s="1" t="inlineStr">
        <is>
          <t>Nys Dtf Pit Tax Paymnt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>
        <f>SUM(B24,C24,D24,E24,F24,G24,H24,I24,J24,K24,L24,M24,N24,Q24)</f>
        <v/>
      </c>
      <c r="P24" s="1" t="inlineStr">
        <is>
          <t>MEALS</t>
        </is>
      </c>
    </row>
    <row r="25">
      <c r="A25" s="1" t="inlineStr">
        <is>
          <t>PANDA EXPRESS TACOMA WA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>
        <f>SUM(B25,C25,D25,E25,F25,G25,H25,I25,J25,K25,L25,M25,N25,Q25)</f>
        <v/>
      </c>
      <c r="P25" s="1" t="inlineStr">
        <is>
          <t>MEALS</t>
        </is>
      </c>
    </row>
    <row r="26">
      <c r="A26" s="1" t="inlineStr">
        <is>
          <t>Paypal Inst Xfer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>
        <f>SUM(B26,C26,D26,E26,F26,G26,H26,I26,J26,K26,L26,M26,N26,Q26)</f>
        <v/>
      </c>
      <c r="P26" s="1" t="inlineStr">
        <is>
          <t>MEALS</t>
        </is>
      </c>
    </row>
    <row r="27">
      <c r="A27" s="1" t="inlineStr">
        <is>
          <t>POS Mac Amazon.Com*9O5 Seattle WA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>
        <f>SUM(B27,C27,D27,E27,F27,G27,H27,I27,J27,K27,L27,M27,N27,Q27)</f>
        <v/>
      </c>
      <c r="P27" s="1" t="inlineStr">
        <is>
          <t>MEALS</t>
        </is>
      </c>
    </row>
    <row r="28">
      <c r="A28" s="1" t="inlineStr">
        <is>
          <t>POS Mac Amazon.Com*Au5 Seattle WA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>
        <f>SUM(B28,C28,D28,E28,F28,G28,H28,I28,J28,K28,L28,M28,N28,Q28)</f>
        <v/>
      </c>
      <c r="P28" s="1" t="inlineStr">
        <is>
          <t>MEALS</t>
        </is>
      </c>
    </row>
    <row r="29">
      <c r="A29" s="1" t="inlineStr">
        <is>
          <t>POS Mac Amazon.Com*Bq9 Seattle WA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>
        <f>SUM(B29,C29,D29,E29,F29,G29,H29,I29,J29,K29,L29,M29,N29,Q29)</f>
        <v/>
      </c>
      <c r="P29" s="1" t="inlineStr">
        <is>
          <t>SUPPLY</t>
        </is>
      </c>
    </row>
    <row r="30">
      <c r="A30" s="1" t="inlineStr">
        <is>
          <t>POS Mac Amazon.Com*Ge2 Seattle WA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>
        <f>SUM(B30,C30,D30,E30,F30,G30,H30,I30,J30,K30,L30,M30,N30,Q30)</f>
        <v/>
      </c>
      <c r="P30" s="1" t="inlineStr">
        <is>
          <t>SUPPLY</t>
        </is>
      </c>
    </row>
    <row r="31">
      <c r="A31" s="1" t="inlineStr">
        <is>
          <t>POS Mac Amazon.Com*Mz5 Seattle WA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>
        <f>SUM(B31,C31,D31,E31,F31,G31,H31,I31,J31,K31,L31,M31,N31,Q31)</f>
        <v/>
      </c>
      <c r="P31" s="1" t="inlineStr">
        <is>
          <t>SUPPLY</t>
        </is>
      </c>
    </row>
    <row r="32">
      <c r="A32" s="1" t="inlineStr">
        <is>
          <t>POS Mac Amazon.Com*Nx6 Seattle WA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>
        <f>SUM(B32,C32,D32,E32,F32,G32,H32,I32,J32,K32,L32,M32,N32,Q32)</f>
        <v/>
      </c>
      <c r="P32" s="1" t="inlineStr">
        <is>
          <t>SUPPLY</t>
        </is>
      </c>
    </row>
    <row r="33">
      <c r="A33" s="1" t="inlineStr">
        <is>
          <t>POS Mac Amazon.Com*Sb8 Seattle WA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>
        <f>SUM(B33,C33,D33,E33,F33,G33,H33,I33,J33,K33,L33,M33,N33,Q33)</f>
        <v/>
      </c>
      <c r="P33" s="1" t="inlineStr">
        <is>
          <t>SUPPLY</t>
        </is>
      </c>
    </row>
    <row r="34">
      <c r="A34" s="1" t="inlineStr">
        <is>
          <t>POS Mac Amazon.Com*TN0 Seattle WA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>
        <f>SUM(B34,C34,D34,E34,F34,G34,H34,I34,J34,K34,L34,M34,N34,Q34)</f>
        <v/>
      </c>
      <c r="P34" s="1" t="inlineStr">
        <is>
          <t>SUPPLY</t>
        </is>
      </c>
    </row>
    <row r="35">
      <c r="A35" s="1" t="inlineStr">
        <is>
          <t>POS Mac Amazon.Com*V25 Seattle WA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>
        <f>SUM(B35,C35,D35,E35,F35,G35,H35,I35,J35,K35,L35,M35,N35,Q35)</f>
        <v/>
      </c>
      <c r="P35" s="1" t="inlineStr">
        <is>
          <t>SUPPLY</t>
        </is>
      </c>
    </row>
    <row r="36">
      <c r="A36" s="1" t="inlineStr">
        <is>
          <t>POS Mac Amazon.Com*Yr6 Seattle WA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>
        <f>SUM(B36,C36,D36,E36,F36,G36,H36,I36,J36,K36,L36,M36,N36,Q36)</f>
        <v/>
      </c>
      <c r="P36" s="1" t="inlineStr">
        <is>
          <t>SUPPLY</t>
        </is>
      </c>
    </row>
    <row r="37">
      <c r="A37" s="1" t="inlineStr">
        <is>
          <t>POS Mac Amazon.Com*Za2 Seattle WA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>
        <f>SUM(B37,C37,D37,E37,F37,G37,H37,I37,J37,K37,L37,M37,N37,Q37)</f>
        <v/>
      </c>
      <c r="P37" s="1" t="inlineStr">
        <is>
          <t>SUPPLY</t>
        </is>
      </c>
    </row>
    <row r="38">
      <c r="A38" s="1" t="inlineStr">
        <is>
          <t>Prog Casualty Ins Prem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>
        <f>SUM(B38,C38,D38,E38,F38,G38,H38,I38,J38,K38,L38,M38,N38,Q38)</f>
        <v/>
      </c>
      <c r="P38" s="1" t="inlineStr">
        <is>
          <t>SUPPLY</t>
        </is>
      </c>
    </row>
    <row r="39">
      <c r="A39" s="1" t="inlineStr">
        <is>
          <t>WHOLEFDS CHB #10588 000010588 UNIVERSITY PL WA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>
        <f>SUM(B39,C39,D39,E39,F39,G39,H39,I39,J39,K39,L39,M39,N39,Q39)</f>
        <v/>
      </c>
      <c r="P39" s="1" t="inlineStr">
        <is>
          <t>SUPPLY</t>
        </is>
      </c>
    </row>
    <row r="40">
      <c r="A40" s="1" t="inlineStr">
        <is>
          <t>Withdrawal Branch 0964 New York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>
        <f>SUM(B40,C40,D40,E40,F40,G40,H40,I40,J40,K40,L40,M40,N40,Q40)</f>
        <v/>
      </c>
      <c r="P40" s="1" t="inlineStr">
        <is>
          <t>SUPPLY</t>
        </is>
      </c>
    </row>
    <row r="41">
      <c r="A41" s="1" t="inlineStr">
        <is>
          <t>Total</t>
        </is>
      </c>
      <c r="B41" s="2">
        <f>SUM(B2:B40)</f>
        <v/>
      </c>
      <c r="C41" s="2">
        <f>SUM(C2:C40)</f>
        <v/>
      </c>
      <c r="D41" s="2">
        <f>SUM(D2:D40)</f>
        <v/>
      </c>
      <c r="E41" s="2">
        <f>SUM(E2:E40)</f>
        <v/>
      </c>
      <c r="F41" s="2">
        <f>SUM(F2:F40)</f>
        <v/>
      </c>
      <c r="G41" s="2">
        <f>SUM(G2:G40)</f>
        <v/>
      </c>
      <c r="H41" s="2">
        <f>SUM(H2:H40)</f>
        <v/>
      </c>
      <c r="I41" s="2">
        <f>SUM(I2:I40)</f>
        <v/>
      </c>
      <c r="J41" s="2">
        <f>SUM(J2:J40)</f>
        <v/>
      </c>
      <c r="K41" s="2">
        <f>SUM(K2:K40)</f>
        <v/>
      </c>
      <c r="L41" s="2">
        <f>SUM(L2:L40)</f>
        <v/>
      </c>
      <c r="M41" s="2">
        <f>SUM(M2:M40)</f>
        <v/>
      </c>
      <c r="N41" s="2">
        <f>SUM(N2:N40)</f>
        <v/>
      </c>
      <c r="O41" s="2">
        <f>SUM(B41,C41,D41,E41,F41,G41,H41,I41,J41,K41,L41,M41,N41,Q41)</f>
        <v/>
      </c>
      <c r="P41" s="1" t="n"/>
      <c r="Q41" s="3">
        <f>SUM(Q2:Q40)</f>
        <v/>
      </c>
    </row>
    <row r="42"/>
    <row r="43">
      <c r="A43" t="inlineStr">
        <is>
          <t>BEGIN</t>
        </is>
      </c>
      <c r="B43">
        <f>0</f>
        <v/>
      </c>
      <c r="C43">
        <f>B46</f>
        <v/>
      </c>
      <c r="D43">
        <f>C46</f>
        <v/>
      </c>
      <c r="E43">
        <f>D46</f>
        <v/>
      </c>
      <c r="F43">
        <f>E46</f>
        <v/>
      </c>
      <c r="G43">
        <f>F46</f>
        <v/>
      </c>
      <c r="H43">
        <f>G46</f>
        <v/>
      </c>
      <c r="I43">
        <f>H46</f>
        <v/>
      </c>
      <c r="J43">
        <f>I46</f>
        <v/>
      </c>
      <c r="K43">
        <f>J46</f>
        <v/>
      </c>
      <c r="L43">
        <f>K46</f>
        <v/>
      </c>
      <c r="M43">
        <f>L46</f>
        <v/>
      </c>
      <c r="N43">
        <f>M46</f>
        <v/>
      </c>
    </row>
    <row r="44">
      <c r="A44" t="inlineStr">
        <is>
          <t>ADD</t>
        </is>
      </c>
      <c r="B44" s="3">
        <f>B41</f>
        <v/>
      </c>
      <c r="C44" s="3">
        <f>C41</f>
        <v/>
      </c>
      <c r="D44" s="3">
        <f>D41</f>
        <v/>
      </c>
      <c r="E44" s="3">
        <f>E41</f>
        <v/>
      </c>
      <c r="F44" s="3">
        <f>F41</f>
        <v/>
      </c>
      <c r="G44" s="3">
        <f>G41</f>
        <v/>
      </c>
      <c r="H44" s="3">
        <f>H41</f>
        <v/>
      </c>
      <c r="I44" s="3">
        <f>I41</f>
        <v/>
      </c>
      <c r="J44" s="3">
        <f>J41</f>
        <v/>
      </c>
      <c r="K44" s="3">
        <f>K41</f>
        <v/>
      </c>
      <c r="L44" s="3">
        <f>L41</f>
        <v/>
      </c>
      <c r="M44" s="3">
        <f>M41</f>
        <v/>
      </c>
      <c r="N44" s="3">
        <f>N41</f>
        <v/>
      </c>
    </row>
    <row r="45">
      <c r="A45" t="inlineStr">
        <is>
          <t>LESS</t>
        </is>
      </c>
    </row>
    <row r="46">
      <c r="A46" t="inlineStr">
        <is>
          <t>ENDING`</t>
        </is>
      </c>
      <c r="B46" s="3">
        <f>B43+B44-B45</f>
        <v/>
      </c>
      <c r="C46" s="3">
        <f>C43+C44-C45</f>
        <v/>
      </c>
      <c r="D46" s="3">
        <f>D43+D44-D45</f>
        <v/>
      </c>
      <c r="E46" s="3">
        <f>E43+E44-E45</f>
        <v/>
      </c>
      <c r="F46" s="3">
        <f>F43+F44-F45</f>
        <v/>
      </c>
      <c r="G46" s="3">
        <f>G43+G44-G45</f>
        <v/>
      </c>
      <c r="H46" s="3">
        <f>H43+H44-H45</f>
        <v/>
      </c>
      <c r="I46" s="3">
        <f>I43+I44-I45</f>
        <v/>
      </c>
      <c r="J46" s="3">
        <f>J43+J44-J45</f>
        <v/>
      </c>
      <c r="K46" s="3">
        <f>K43+K44-K45</f>
        <v/>
      </c>
      <c r="L46" s="3">
        <f>L43+L44-L45</f>
        <v/>
      </c>
      <c r="M46" s="3">
        <f>M43+M44-M45</f>
        <v/>
      </c>
      <c r="N46" s="3">
        <f>N43+N44-N45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35" workbookViewId="0">
      <selection activeCell="A1" sqref="A1"/>
    </sheetView>
  </sheetViews>
  <sheetFormatPr baseColWidth="8" defaultRowHeight="15"/>
  <sheetData>
    <row r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2026-07-24T03:53:26Z</dcterms:created>
  <dcterms:modified xsi:type="dcterms:W3CDTF">2026-08-08T03:07:46Z</dcterms:modified>
</cp:coreProperties>
</file>