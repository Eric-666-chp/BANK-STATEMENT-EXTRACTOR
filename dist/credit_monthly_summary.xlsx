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edit Summary" sheetId="1" state="visible" r:id="rId1"/>
    <sheet name="debit summary" sheetId="2" state="visible" r:id="rId2"/>
  </sheets>
  <definedNames>
    <definedName name="_xlnm._FilterDatabase" localSheetId="0" hidden="1">'Credit Summary'!$A$2:$AO$15</definedName>
    <definedName name="_xlnm._FilterDatabase" localSheetId="1" hidden="1">'debit summary'!$A$1:$O$41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1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</cols>
  <sheetData>
    <row r="1" ht="24" customHeight="1">
      <c r="A1" s="2" t="n"/>
      <c r="B1" s="1" t="inlineStr">
        <is>
          <t>CHASE #3444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</row>
    <row r="2" ht="24" customHeight="1">
      <c r="A2" s="1" t="n"/>
      <c r="B2" s="1" t="inlineStr">
        <is>
          <t>BEGIN BALANCE</t>
        </is>
      </c>
      <c r="C2" s="1" t="inlineStr">
        <is>
          <t>CASH / CHECK DEPOSIT</t>
        </is>
      </c>
      <c r="D2" s="1" t="inlineStr">
        <is>
          <t>NO1 SUSHI 88 CORKBBO ACH</t>
        </is>
      </c>
      <c r="E2" s="1" t="inlineStr">
        <is>
          <t>INTERNET TRF TO CLIENT-ADDED TRANSFER ACCOUNT</t>
        </is>
      </c>
      <c r="F2" s="1" t="inlineStr">
        <is>
          <t>BILL PAY:VEOLIA WATER NEW Y 200045 6BU1T6KR</t>
        </is>
      </c>
      <c r="G2" s="1" t="inlineStr">
        <is>
          <t>BILL PAY:ORANGE &amp; ROCKLAND 136130 6BQ1P6KR</t>
        </is>
      </c>
      <c r="H2" s="1" t="inlineStr">
        <is>
          <t>WITHDRAWAL BRANCH 0964 NEW YORK</t>
        </is>
      </c>
      <c r="I2" s="1" t="inlineStr">
        <is>
          <t>POS MAC AMAZON.COM*NX6 SEATTLE WA</t>
        </is>
      </c>
      <c r="J2" s="1" t="inlineStr">
        <is>
          <t>POS MAC AMAZON.COM*9O5 SEATTLE WA</t>
        </is>
      </c>
      <c r="K2" s="1" t="inlineStr">
        <is>
          <t>POS MAC AMAZON.COM*SB8 SEATTLE WA</t>
        </is>
      </c>
      <c r="L2" s="1" t="inlineStr">
        <is>
          <t>NYS DTF PIT TAX PAYMNT</t>
        </is>
      </c>
      <c r="M2" s="1" t="inlineStr">
        <is>
          <t>KINDERCARE PORTLAND OR</t>
        </is>
      </c>
      <c r="N2" s="1" t="inlineStr">
        <is>
          <t>AMAZON PRIME*ZH8618UZ3 AMZN.COM/BILL WA</t>
        </is>
      </c>
      <c r="O2" s="1" t="inlineStr">
        <is>
          <t>IRS USATAXPYMT</t>
        </is>
      </c>
      <c r="P2" s="1" t="inlineStr">
        <is>
          <t>CREDIT ONE BANK PAYMENT</t>
        </is>
      </c>
      <c r="Q2" s="1" t="inlineStr">
        <is>
          <t>PROG CASUALTY INS PREM</t>
        </is>
      </c>
      <c r="R2" s="1" t="inlineStr">
        <is>
          <t>CITI CARD ONLINEPAYMENT</t>
        </is>
      </c>
      <c r="S2" s="1" t="inlineStr">
        <is>
          <t>AMAZON.COMSEATTLEWA US</t>
        </is>
      </c>
      <c r="T2" s="1" t="inlineStr">
        <is>
          <t>POS MAC AMAZON.COM*TN0 SEATTLE WA</t>
        </is>
      </c>
      <c r="U2" s="1" t="inlineStr">
        <is>
          <t>POS MAC AMAZON.COM*MZ5 SEATTLE WA</t>
        </is>
      </c>
      <c r="V2" s="1" t="inlineStr">
        <is>
          <t>POS MAC AMAZON.COM*GE2 SEATTLE WA</t>
        </is>
      </c>
      <c r="W2" s="1" t="inlineStr">
        <is>
          <t>POS MAC AMAZON.COM*V25 SEATTLE WA</t>
        </is>
      </c>
      <c r="X2" s="1" t="inlineStr">
        <is>
          <t>POS MAC AMAZON.COM*ZA2 SEATTLE WA</t>
        </is>
      </c>
      <c r="Y2" s="1" t="inlineStr">
        <is>
          <t>POS MAC AMAZON.COM*AU5 SEATTLE WA</t>
        </is>
      </c>
      <c r="Z2" s="1" t="inlineStr">
        <is>
          <t>POS MAC AMAZON.COM*BQ9 SEATTLE WA</t>
        </is>
      </c>
      <c r="AA2" s="1" t="inlineStr">
        <is>
          <t>BILL PAY:NEW YORK STATE INS 237224 4BQ1P6KR</t>
        </is>
      </c>
      <c r="AB2" s="1" t="inlineStr">
        <is>
          <t>AMAZON.COM*N22FJSEATTLEWA US</t>
        </is>
      </c>
      <c r="AC2" s="1" t="inlineStr">
        <is>
          <t>POS MAC AMAZON.COM*YR6 SEATTLE WA</t>
        </is>
      </c>
      <c r="AD2" s="1" t="inlineStr">
        <is>
          <t>ARROW BANK NA WEB PMT</t>
        </is>
      </c>
      <c r="AE2" s="1" t="inlineStr">
        <is>
          <t>HUNTINGTON BANKSIL PAYMENT</t>
        </is>
      </c>
      <c r="AF2" s="1" t="inlineStr">
        <is>
          <t>AMEX EPAYMENT ACH PMT</t>
        </is>
      </c>
      <c r="AG2" s="1" t="inlineStr">
        <is>
          <t>BILL PAY:VEOLIA WATER NEW Y 200054 HBU1T6KR</t>
        </is>
      </c>
      <c r="AH2" s="1" t="inlineStr">
        <is>
          <t>BILL PAY:ASSOCIATED MUTUAL 210061 UBQ1P6KR</t>
        </is>
      </c>
      <c r="AI2" s="1" t="inlineStr">
        <is>
          <t>BILL PAY:ORANGE &amp; ROCKLAND 879293 5BQ1P6KR</t>
        </is>
      </c>
      <c r="AJ2" s="1" t="inlineStr">
        <is>
          <t>PAYPAL INST XFER</t>
        </is>
      </c>
      <c r="AK2" s="1" t="inlineStr">
        <is>
          <t>DISCOVER BANK NET/MOBILE</t>
        </is>
      </c>
      <c r="AL2" s="1" t="inlineStr">
        <is>
          <t>434 / NYS COMMISSION</t>
        </is>
      </c>
      <c r="AM2" s="1" t="inlineStr">
        <is>
          <t>TOTAL CREDIT</t>
        </is>
      </c>
      <c r="AN2" s="1" t="inlineStr">
        <is>
          <t>DEBIT</t>
        </is>
      </c>
      <c r="AO2" s="1" t="inlineStr">
        <is>
          <t>ENDING BALANCE</t>
        </is>
      </c>
    </row>
    <row r="3">
      <c r="A3" s="2" t="inlineStr">
        <is>
          <t>JAN</t>
        </is>
      </c>
      <c r="B3" s="3" t="n">
        <v>0</v>
      </c>
      <c r="C3" s="3" t="n"/>
      <c r="D3" s="3" t="n">
        <v>8000</v>
      </c>
      <c r="E3" s="3" t="n">
        <v>1964.54</v>
      </c>
      <c r="F3" s="3" t="n">
        <v>300</v>
      </c>
      <c r="G3" s="3" t="n">
        <v>350</v>
      </c>
      <c r="H3" s="3" t="n">
        <v>8000</v>
      </c>
      <c r="I3" s="3" t="n">
        <v>75.40000000000001</v>
      </c>
      <c r="J3" s="3" t="n">
        <v>26.57</v>
      </c>
      <c r="K3" s="3" t="n">
        <v>18.75</v>
      </c>
      <c r="L3" s="3" t="n">
        <v>400</v>
      </c>
      <c r="M3" s="3" t="n">
        <v>665</v>
      </c>
      <c r="N3" s="3" t="n">
        <v>16.25</v>
      </c>
      <c r="O3" s="3" t="n">
        <v>1600</v>
      </c>
      <c r="P3" s="3" t="n">
        <v>817.29</v>
      </c>
      <c r="Q3" s="3" t="n">
        <v>930.52</v>
      </c>
      <c r="R3" s="3" t="n">
        <v>2739.75</v>
      </c>
      <c r="S3" s="3" t="n">
        <v>117.76</v>
      </c>
      <c r="T3" s="3" t="n">
        <v>50.03</v>
      </c>
      <c r="U3" s="3" t="n">
        <v>71.79000000000001</v>
      </c>
      <c r="V3" s="3" t="n">
        <v>152.14</v>
      </c>
      <c r="W3" s="3" t="n">
        <v>20.8</v>
      </c>
      <c r="X3" s="3" t="n">
        <v>40.33</v>
      </c>
      <c r="Y3" s="3" t="n">
        <v>343.93</v>
      </c>
      <c r="Z3" s="3" t="n">
        <v>17.59</v>
      </c>
      <c r="AA3" s="3" t="n">
        <v>578</v>
      </c>
      <c r="AB3" s="3" t="n">
        <v>109.43</v>
      </c>
      <c r="AC3" s="3" t="n">
        <v>13.79</v>
      </c>
      <c r="AD3" s="3" t="n">
        <v>703</v>
      </c>
      <c r="AE3" s="3" t="n">
        <v>900</v>
      </c>
      <c r="AF3" s="3" t="n">
        <v>1000</v>
      </c>
      <c r="AG3" s="3" t="n">
        <v>300</v>
      </c>
      <c r="AH3" s="3" t="n">
        <v>723</v>
      </c>
      <c r="AI3" s="3" t="n">
        <v>2400</v>
      </c>
      <c r="AJ3" s="3" t="n">
        <v>220</v>
      </c>
      <c r="AK3" s="3" t="n">
        <v>833.8099999999999</v>
      </c>
      <c r="AL3" s="3" t="n">
        <v>4589.17</v>
      </c>
      <c r="AM3" s="3">
        <f>SUM(C3:AL3)</f>
        <v/>
      </c>
      <c r="AN3" s="3">
        <f>'debit summary'!B41</f>
        <v/>
      </c>
      <c r="AO3" s="3">
        <f>B3+AM3-AN3</f>
        <v/>
      </c>
    </row>
    <row r="4">
      <c r="A4" s="2" t="inlineStr">
        <is>
          <t>FEB</t>
        </is>
      </c>
      <c r="B4" s="3">
        <f>AO3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>
        <f>SUM(C4:AL4)</f>
        <v/>
      </c>
      <c r="AN4" s="3">
        <f>'debit summary'!C41</f>
        <v/>
      </c>
      <c r="AO4" s="3">
        <f>B4+AM4-AN4</f>
        <v/>
      </c>
    </row>
    <row r="5">
      <c r="A5" s="2" t="inlineStr">
        <is>
          <t>MAR</t>
        </is>
      </c>
      <c r="B5" s="3">
        <f>AO4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>
        <f>SUM(C5:AL5)</f>
        <v/>
      </c>
      <c r="AN5" s="3">
        <f>'debit summary'!D41</f>
        <v/>
      </c>
      <c r="AO5" s="3">
        <f>B5+AM5-AN5</f>
        <v/>
      </c>
    </row>
    <row r="6">
      <c r="A6" s="2" t="inlineStr">
        <is>
          <t>APR</t>
        </is>
      </c>
      <c r="B6" s="3">
        <f>AO5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>
        <f>SUM(C6:AL6)</f>
        <v/>
      </c>
      <c r="AN6" s="3">
        <f>'debit summary'!E41</f>
        <v/>
      </c>
      <c r="AO6" s="3">
        <f>B6+AM6-AN6</f>
        <v/>
      </c>
    </row>
    <row r="7">
      <c r="A7" s="2" t="inlineStr">
        <is>
          <t>MAY</t>
        </is>
      </c>
      <c r="B7" s="3">
        <f>AO6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>
        <f>SUM(C7:AL7)</f>
        <v/>
      </c>
      <c r="AN7" s="3">
        <f>'debit summary'!F41</f>
        <v/>
      </c>
      <c r="AO7" s="3">
        <f>B7+AM7-AN7</f>
        <v/>
      </c>
    </row>
    <row r="8">
      <c r="A8" s="2" t="inlineStr">
        <is>
          <t>JUN</t>
        </is>
      </c>
      <c r="B8" s="3">
        <f>AO7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>
        <f>SUM(C8:AL8)</f>
        <v/>
      </c>
      <c r="AN8" s="3">
        <f>'debit summary'!G41</f>
        <v/>
      </c>
      <c r="AO8" s="3">
        <f>B8+AM8-AN8</f>
        <v/>
      </c>
    </row>
    <row r="9">
      <c r="A9" s="2" t="inlineStr">
        <is>
          <t>JUL</t>
        </is>
      </c>
      <c r="B9" s="3">
        <f>AO8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>
        <f>SUM(C9:AL9)</f>
        <v/>
      </c>
      <c r="AN9" s="3">
        <f>'debit summary'!H41</f>
        <v/>
      </c>
      <c r="AO9" s="3">
        <f>B9+AM9-AN9</f>
        <v/>
      </c>
    </row>
    <row r="10">
      <c r="A10" s="2" t="inlineStr">
        <is>
          <t>AUG</t>
        </is>
      </c>
      <c r="B10" s="3">
        <f>AO9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>
        <f>SUM(C10:AL10)</f>
        <v/>
      </c>
      <c r="AN10" s="3">
        <f>'debit summary'!I41</f>
        <v/>
      </c>
      <c r="AO10" s="3">
        <f>B10+AM10-AN10</f>
        <v/>
      </c>
    </row>
    <row r="11">
      <c r="A11" s="2" t="inlineStr">
        <is>
          <t>SEP</t>
        </is>
      </c>
      <c r="B11" s="3">
        <f>AO10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>
        <f>SUM(C11:AL11)</f>
        <v/>
      </c>
      <c r="AN11" s="3">
        <f>'debit summary'!J41</f>
        <v/>
      </c>
      <c r="AO11" s="3">
        <f>B11+AM11-AN11</f>
        <v/>
      </c>
    </row>
    <row r="12">
      <c r="A12" s="2" t="inlineStr">
        <is>
          <t>OCT</t>
        </is>
      </c>
      <c r="B12" s="3">
        <f>AO11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>
        <f>SUM(C12:AL12)</f>
        <v/>
      </c>
      <c r="AN12" s="3">
        <f>'debit summary'!K41</f>
        <v/>
      </c>
      <c r="AO12" s="3">
        <f>B12+AM12-AN12</f>
        <v/>
      </c>
    </row>
    <row r="13">
      <c r="A13" s="2" t="inlineStr">
        <is>
          <t>NOV</t>
        </is>
      </c>
      <c r="B13" s="3">
        <f>AO12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>
        <f>SUM(C13:AL13)</f>
        <v/>
      </c>
      <c r="AN13" s="3">
        <f>'debit summary'!L41</f>
        <v/>
      </c>
      <c r="AO13" s="3">
        <f>B13+AM13-AN13</f>
        <v/>
      </c>
    </row>
    <row r="14">
      <c r="A14" s="2" t="inlineStr">
        <is>
          <t>DEC</t>
        </is>
      </c>
      <c r="B14" s="3">
        <f>AO13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>
        <f>SUM(C14:AL14)</f>
        <v/>
      </c>
      <c r="AN14" s="3">
        <f>'debit summary'!M41</f>
        <v/>
      </c>
      <c r="AO14" s="3">
        <f>B14+AM14-AN14</f>
        <v/>
      </c>
    </row>
    <row r="15">
      <c r="A15" s="2" t="inlineStr">
        <is>
          <t>TOTAL</t>
        </is>
      </c>
      <c r="B15" s="3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  <c r="L15" s="3">
        <f>SUM(L3:L14)</f>
        <v/>
      </c>
      <c r="M15" s="3">
        <f>SUM(M3:M14)</f>
        <v/>
      </c>
      <c r="N15" s="3">
        <f>SUM(N3:N14)</f>
        <v/>
      </c>
      <c r="O15" s="3">
        <f>SUM(O3:O14)</f>
        <v/>
      </c>
      <c r="P15" s="3">
        <f>SUM(P3:P14)</f>
        <v/>
      </c>
      <c r="Q15" s="3">
        <f>SUM(Q3:Q14)</f>
        <v/>
      </c>
      <c r="R15" s="3">
        <f>SUM(R3:R14)</f>
        <v/>
      </c>
      <c r="S15" s="3">
        <f>SUM(S3:S14)</f>
        <v/>
      </c>
      <c r="T15" s="3">
        <f>SUM(T3:T14)</f>
        <v/>
      </c>
      <c r="U15" s="3">
        <f>SUM(U3:U14)</f>
        <v/>
      </c>
      <c r="V15" s="3">
        <f>SUM(V3:V14)</f>
        <v/>
      </c>
      <c r="W15" s="3">
        <f>SUM(W3:W14)</f>
        <v/>
      </c>
      <c r="X15" s="3">
        <f>SUM(X3:X14)</f>
        <v/>
      </c>
      <c r="Y15" s="3">
        <f>SUM(Y3:Y14)</f>
        <v/>
      </c>
      <c r="Z15" s="3">
        <f>SUM(Z3:Z14)</f>
        <v/>
      </c>
      <c r="AA15" s="3">
        <f>SUM(AA3:AA14)</f>
        <v/>
      </c>
      <c r="AB15" s="3">
        <f>SUM(AB3:AB14)</f>
        <v/>
      </c>
      <c r="AC15" s="3">
        <f>SUM(AC3:AC14)</f>
        <v/>
      </c>
      <c r="AD15" s="3">
        <f>SUM(AD3:AD14)</f>
        <v/>
      </c>
      <c r="AE15" s="3">
        <f>SUM(AE3:AE14)</f>
        <v/>
      </c>
      <c r="AF15" s="3">
        <f>SUM(AF3:AF14)</f>
        <v/>
      </c>
      <c r="AG15" s="3">
        <f>SUM(AG3:AG14)</f>
        <v/>
      </c>
      <c r="AH15" s="3">
        <f>SUM(AH3:AH14)</f>
        <v/>
      </c>
      <c r="AI15" s="3">
        <f>SUM(AI3:AI14)</f>
        <v/>
      </c>
      <c r="AJ15" s="3">
        <f>SUM(AJ3:AJ14)</f>
        <v/>
      </c>
      <c r="AK15" s="3">
        <f>SUM(AK3:AK14)</f>
        <v/>
      </c>
      <c r="AL15" s="3">
        <f>SUM(AL3:AL14)</f>
        <v/>
      </c>
      <c r="AM15" s="3">
        <f>SUM(AM3:AM14)</f>
        <v/>
      </c>
      <c r="AN15" s="3">
        <f>'debit summary'!N41</f>
        <v/>
      </c>
      <c r="AO15" s="3">
        <f>AO14</f>
        <v/>
      </c>
    </row>
  </sheetData>
  <autoFilter ref="A2:AO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8" customWidth="1" min="15" max="15"/>
  </cols>
  <sheetData>
    <row r="1">
      <c r="A1" s="1" t="inlineStr">
        <is>
          <t>Merchant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March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Category</t>
        </is>
      </c>
    </row>
    <row r="2">
      <c r="A2" s="2" t="inlineStr">
        <is>
          <t>434 / Nys Commission</t>
        </is>
      </c>
      <c r="B2" s="3" t="n"/>
      <c r="C2" s="3">
        <f>4589.17</f>
        <v/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>
        <f>SUM(B2:M2)</f>
        <v/>
      </c>
      <c r="O2" s="2" t="inlineStr"/>
    </row>
    <row r="3">
      <c r="A3" s="2" t="inlineStr">
        <is>
          <t>Amazon Prime*Zh8618Uz3 Amzn.Com/Bill WA</t>
        </is>
      </c>
      <c r="B3" s="3" t="n"/>
      <c r="C3" s="3">
        <f>16.25</f>
        <v/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SUM(B3:M3)</f>
        <v/>
      </c>
      <c r="O3" s="2" t="inlineStr"/>
    </row>
    <row r="4">
      <c r="A4" s="2" t="inlineStr">
        <is>
          <t>Amazon.Com*N22Fjseattlewa US</t>
        </is>
      </c>
      <c r="B4" s="3" t="n"/>
      <c r="C4" s="3">
        <f>109.43</f>
        <v/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>
        <f>SUM(B4:M4)</f>
        <v/>
      </c>
      <c r="O4" s="2" t="inlineStr"/>
    </row>
    <row r="5">
      <c r="A5" s="2" t="inlineStr">
        <is>
          <t>Amazon.Comseattlewa US</t>
        </is>
      </c>
      <c r="B5" s="3" t="n"/>
      <c r="C5" s="3">
        <f>117.76</f>
        <v/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>
        <f>SUM(B5:M5)</f>
        <v/>
      </c>
      <c r="O5" s="2" t="inlineStr"/>
    </row>
    <row r="6">
      <c r="A6" s="2" t="inlineStr">
        <is>
          <t>Amex Epayment ACH Pmt</t>
        </is>
      </c>
      <c r="B6" s="3" t="n"/>
      <c r="C6" s="3">
        <f>1000.00</f>
        <v/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SUM(B6:M6)</f>
        <v/>
      </c>
      <c r="O6" s="2" t="inlineStr"/>
    </row>
    <row r="7">
      <c r="A7" s="2" t="inlineStr">
        <is>
          <t>Arrow Bank Na Web Pmt</t>
        </is>
      </c>
      <c r="B7" s="3" t="n"/>
      <c r="C7" s="3">
        <f>703.00</f>
        <v/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SUM(B7:M7)</f>
        <v/>
      </c>
      <c r="O7" s="2" t="inlineStr"/>
    </row>
    <row r="8">
      <c r="A8" s="2" t="inlineStr">
        <is>
          <t>Bill Pay:Associated Mutual 210061 Ubq1P6Kr</t>
        </is>
      </c>
      <c r="B8" s="3" t="n"/>
      <c r="C8" s="3">
        <f>723.00</f>
        <v/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SUM(B8:M8)</f>
        <v/>
      </c>
      <c r="O8" s="2" t="inlineStr"/>
    </row>
    <row r="9">
      <c r="A9" s="2" t="inlineStr">
        <is>
          <t>Bill Pay:New York State Ins 237224 4Bq1P6Kr</t>
        </is>
      </c>
      <c r="B9" s="3" t="n"/>
      <c r="C9" s="3">
        <f>578.00</f>
        <v/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SUM(B9:M9)</f>
        <v/>
      </c>
      <c r="O9" s="2" t="inlineStr"/>
    </row>
    <row r="10">
      <c r="A10" s="2" t="inlineStr">
        <is>
          <t>Bill Pay:Orange &amp; Rockland 136130 6Bq1P6Kr</t>
        </is>
      </c>
      <c r="B10" s="3" t="n"/>
      <c r="C10" s="3">
        <f>350.00</f>
        <v/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>
        <f>SUM(B10:M10)</f>
        <v/>
      </c>
      <c r="O10" s="2" t="inlineStr"/>
    </row>
    <row r="11">
      <c r="A11" s="2" t="inlineStr">
        <is>
          <t>Bill Pay:Orange &amp; Rockland 879293 5Bq1P6Kr</t>
        </is>
      </c>
      <c r="B11" s="3" t="n"/>
      <c r="C11" s="3">
        <f>2400.00</f>
        <v/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SUM(B11:M11)</f>
        <v/>
      </c>
      <c r="O11" s="2" t="inlineStr"/>
    </row>
    <row r="12">
      <c r="A12" s="2" t="inlineStr">
        <is>
          <t>Bill Pay:Veolia Water New Y 200045 6Bu1T6Kr</t>
        </is>
      </c>
      <c r="B12" s="3" t="n"/>
      <c r="C12" s="3">
        <f>300.00</f>
        <v/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>
        <f>SUM(B12:M12)</f>
        <v/>
      </c>
      <c r="O12" s="2" t="inlineStr"/>
    </row>
    <row r="13">
      <c r="A13" s="2" t="inlineStr">
        <is>
          <t>Bill Pay:Veolia Water New Y 200054 Hbu1T6Kr</t>
        </is>
      </c>
      <c r="B13" s="3" t="n"/>
      <c r="C13" s="3">
        <f>300.00</f>
        <v/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SUM(B13:M13)</f>
        <v/>
      </c>
      <c r="O13" s="2" t="inlineStr"/>
    </row>
    <row r="14">
      <c r="A14" s="2" t="inlineStr">
        <is>
          <t>Citi Card Onlinepayment</t>
        </is>
      </c>
      <c r="B14" s="3" t="n"/>
      <c r="C14" s="3">
        <f>975.00+364.75+1400.00</f>
        <v/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SUM(B14:M14)</f>
        <v/>
      </c>
      <c r="O14" s="2" t="inlineStr"/>
    </row>
    <row r="15">
      <c r="A15" s="2" t="inlineStr">
        <is>
          <t>Credit One Bank Payment</t>
        </is>
      </c>
      <c r="B15" s="3" t="n"/>
      <c r="C15" s="3">
        <f>817.29</f>
        <v/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SUM(B15:M15)</f>
        <v/>
      </c>
      <c r="O15" s="2" t="inlineStr"/>
    </row>
    <row r="16">
      <c r="A16" s="2" t="inlineStr">
        <is>
          <t>Discover Bank Net/Mobile</t>
        </is>
      </c>
      <c r="B16" s="3" t="n"/>
      <c r="C16" s="3">
        <f>833.81</f>
        <v/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>
        <f>SUM(B16:M16)</f>
        <v/>
      </c>
      <c r="O16" s="2" t="inlineStr"/>
    </row>
    <row r="17">
      <c r="A17" s="2" t="inlineStr">
        <is>
          <t>FIVE GUYS 1522 QSR 000001522 TULSA OK</t>
        </is>
      </c>
      <c r="B17" s="3">
        <f>18.58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SUM(B17:M17)</f>
        <v/>
      </c>
      <c r="O17" s="2" t="inlineStr"/>
    </row>
    <row r="18">
      <c r="A18" s="2" t="inlineStr">
        <is>
          <t>Huntington Banksil Payment</t>
        </is>
      </c>
      <c r="B18" s="3" t="n"/>
      <c r="C18" s="3">
        <f>900.00</f>
        <v/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SUM(B18:M18)</f>
        <v/>
      </c>
      <c r="O18" s="2" t="inlineStr"/>
    </row>
    <row r="19">
      <c r="A19" s="2" t="inlineStr">
        <is>
          <t>Internet Trf To Client-Added Transfer Account</t>
        </is>
      </c>
      <c r="B19" s="3" t="n"/>
      <c r="C19" s="3">
        <f>385.77+740.00+453.00+385.77</f>
        <v/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>
        <f>SUM(B19:M19)</f>
        <v/>
      </c>
      <c r="O19" s="2" t="inlineStr"/>
    </row>
    <row r="20">
      <c r="A20" s="2" t="inlineStr">
        <is>
          <t>Irs Usataxpymt</t>
        </is>
      </c>
      <c r="B20" s="3" t="n"/>
      <c r="C20" s="3">
        <f>800.00+800.00</f>
        <v/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SUM(B20:M20)</f>
        <v/>
      </c>
      <c r="O20" s="2" t="inlineStr"/>
    </row>
    <row r="21">
      <c r="A21" s="2" t="inlineStr">
        <is>
          <t>Kindercare Portland OR</t>
        </is>
      </c>
      <c r="B21" s="3" t="n"/>
      <c r="C21" s="3">
        <f>490.00+120.00+55.00</f>
        <v/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>
        <f>SUM(B21:M21)</f>
        <v/>
      </c>
      <c r="O21" s="2" t="inlineStr"/>
    </row>
    <row r="22">
      <c r="A22" s="2" t="inlineStr">
        <is>
          <t>No1 Sushi 88 Corkbbo ACH</t>
        </is>
      </c>
      <c r="B22" s="3" t="n"/>
      <c r="C22" s="3">
        <f>4000.00+4000.00</f>
        <v/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>
        <f>SUM(B22:M22)</f>
        <v/>
      </c>
      <c r="O22" s="2" t="inlineStr"/>
    </row>
    <row r="23">
      <c r="A23" s="2" t="inlineStr">
        <is>
          <t>NORDSTROM DIRECT http://shop.nordstrom WA</t>
        </is>
      </c>
      <c r="B23" s="3">
        <f>413.63</f>
        <v/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SUM(B23:M23)</f>
        <v/>
      </c>
      <c r="O23" s="2" t="inlineStr"/>
    </row>
    <row r="24">
      <c r="A24" s="2" t="inlineStr">
        <is>
          <t>Nys Dtf Pit Tax Paymnt</t>
        </is>
      </c>
      <c r="B24" s="3" t="n"/>
      <c r="C24" s="3">
        <f>200.00+200.00</f>
        <v/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>
        <f>SUM(B24:M24)</f>
        <v/>
      </c>
      <c r="O24" s="2" t="inlineStr"/>
    </row>
    <row r="25">
      <c r="A25" s="2" t="inlineStr">
        <is>
          <t>PANDA EXPRESS TACOMA WA</t>
        </is>
      </c>
      <c r="B25" s="3">
        <f>28.49</f>
        <v/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SUM(B25:M25)</f>
        <v/>
      </c>
      <c r="O25" s="2" t="inlineStr"/>
    </row>
    <row r="26">
      <c r="A26" s="2" t="inlineStr">
        <is>
          <t>Paypal Inst Xfer</t>
        </is>
      </c>
      <c r="B26" s="3" t="n"/>
      <c r="C26" s="3">
        <f>220.00</f>
        <v/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>
        <f>SUM(B26:M26)</f>
        <v/>
      </c>
      <c r="O26" s="2" t="inlineStr"/>
    </row>
    <row r="27">
      <c r="A27" s="2" t="inlineStr">
        <is>
          <t>POS Mac Amazon.Com*9O5 Seattle WA</t>
        </is>
      </c>
      <c r="B27" s="3" t="n"/>
      <c r="C27" s="3">
        <f>26.57</f>
        <v/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>
        <f>SUM(B27:M27)</f>
        <v/>
      </c>
      <c r="O27" s="2" t="inlineStr"/>
    </row>
    <row r="28">
      <c r="A28" s="2" t="inlineStr">
        <is>
          <t>POS Mac Amazon.Com*Au5 Seattle WA</t>
        </is>
      </c>
      <c r="B28" s="3" t="n"/>
      <c r="C28" s="3">
        <f>343.93</f>
        <v/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>
        <f>SUM(B28:M28)</f>
        <v/>
      </c>
      <c r="O28" s="2" t="inlineStr"/>
    </row>
    <row r="29">
      <c r="A29" s="2" t="inlineStr">
        <is>
          <t>POS Mac Amazon.Com*Bq9 Seattle WA</t>
        </is>
      </c>
      <c r="B29" s="3" t="n"/>
      <c r="C29" s="3">
        <f>17.59</f>
        <v/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>
        <f>SUM(B29:M29)</f>
        <v/>
      </c>
      <c r="O29" s="2" t="inlineStr"/>
    </row>
    <row r="30">
      <c r="A30" s="2" t="inlineStr">
        <is>
          <t>POS Mac Amazon.Com*Ge2 Seattle WA</t>
        </is>
      </c>
      <c r="B30" s="3" t="n"/>
      <c r="C30" s="3">
        <f>152.14</f>
        <v/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>
        <f>SUM(B30:M30)</f>
        <v/>
      </c>
      <c r="O30" s="2" t="inlineStr"/>
    </row>
    <row r="31">
      <c r="A31" s="2" t="inlineStr">
        <is>
          <t>POS Mac Amazon.Com*Mz5 Seattle WA</t>
        </is>
      </c>
      <c r="B31" s="3" t="n"/>
      <c r="C31" s="3">
        <f>71.79</f>
        <v/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>
        <f>SUM(B31:M31)</f>
        <v/>
      </c>
      <c r="O31" s="2" t="inlineStr"/>
    </row>
    <row r="32">
      <c r="A32" s="2" t="inlineStr">
        <is>
          <t>POS Mac Amazon.Com*Nx6 Seattle WA</t>
        </is>
      </c>
      <c r="B32" s="3" t="n"/>
      <c r="C32" s="3">
        <f>75.40</f>
        <v/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>
        <f>SUM(B32:M32)</f>
        <v/>
      </c>
      <c r="O32" s="2" t="inlineStr"/>
    </row>
    <row r="33">
      <c r="A33" s="2" t="inlineStr">
        <is>
          <t>POS Mac Amazon.Com*Sb8 Seattle WA</t>
        </is>
      </c>
      <c r="B33" s="3" t="n"/>
      <c r="C33" s="3">
        <f>18.75</f>
        <v/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>
        <f>SUM(B33:M33)</f>
        <v/>
      </c>
      <c r="O33" s="2" t="inlineStr"/>
    </row>
    <row r="34">
      <c r="A34" s="2" t="inlineStr">
        <is>
          <t>POS Mac Amazon.Com*TN0 Seattle WA</t>
        </is>
      </c>
      <c r="B34" s="3" t="n"/>
      <c r="C34" s="3">
        <f>50.03</f>
        <v/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>
        <f>SUM(B34:M34)</f>
        <v/>
      </c>
      <c r="O34" s="2" t="inlineStr"/>
    </row>
    <row r="35">
      <c r="A35" s="2" t="inlineStr">
        <is>
          <t>POS Mac Amazon.Com*V25 Seattle WA</t>
        </is>
      </c>
      <c r="B35" s="3" t="n"/>
      <c r="C35" s="3">
        <f>20.80</f>
        <v/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>
        <f>SUM(B35:M35)</f>
        <v/>
      </c>
      <c r="O35" s="2" t="inlineStr"/>
    </row>
    <row r="36">
      <c r="A36" s="2" t="inlineStr">
        <is>
          <t>POS Mac Amazon.Com*Yr6 Seattle WA</t>
        </is>
      </c>
      <c r="B36" s="3" t="n"/>
      <c r="C36" s="3">
        <f>13.79</f>
        <v/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>
        <f>SUM(B36:M36)</f>
        <v/>
      </c>
      <c r="O36" s="2" t="inlineStr"/>
    </row>
    <row r="37">
      <c r="A37" s="2" t="inlineStr">
        <is>
          <t>POS Mac Amazon.Com*Za2 Seattle WA</t>
        </is>
      </c>
      <c r="B37" s="3" t="n"/>
      <c r="C37" s="3">
        <f>40.33</f>
        <v/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>
        <f>SUM(B37:M37)</f>
        <v/>
      </c>
      <c r="O37" s="2" t="inlineStr"/>
    </row>
    <row r="38">
      <c r="A38" s="2" t="inlineStr">
        <is>
          <t>Prog Casualty Ins Prem</t>
        </is>
      </c>
      <c r="B38" s="3" t="n"/>
      <c r="C38" s="3">
        <f>930.52</f>
        <v/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>
        <f>SUM(B38:M38)</f>
        <v/>
      </c>
      <c r="O38" s="2" t="inlineStr"/>
    </row>
    <row r="39">
      <c r="A39" s="2" t="inlineStr">
        <is>
          <t>WHOLEFDS CHB #10588 000010588 UNIVERSITY PL WA</t>
        </is>
      </c>
      <c r="B39" s="3">
        <f>95.44+101.98+76.47</f>
        <v/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>
        <f>SUM(B39:M39)</f>
        <v/>
      </c>
      <c r="O39" s="2" t="inlineStr"/>
    </row>
    <row r="40">
      <c r="A40" s="2" t="inlineStr">
        <is>
          <t>Withdrawal Branch 0964 New York</t>
        </is>
      </c>
      <c r="B40" s="3" t="n"/>
      <c r="C40" s="3">
        <f>1000.00+3200.00+3800.00</f>
        <v/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>
        <f>SUM(B40:M40)</f>
        <v/>
      </c>
      <c r="O40" s="2" t="inlineStr"/>
    </row>
    <row r="41">
      <c r="A41" s="2" t="inlineStr">
        <is>
          <t>Total</t>
        </is>
      </c>
      <c r="B41" s="3">
        <f>SUM(B2:B40)</f>
        <v/>
      </c>
      <c r="C41" s="3">
        <f>SUM(C2:C40)</f>
        <v/>
      </c>
      <c r="D41" s="3">
        <f>SUM(D2:D40)</f>
        <v/>
      </c>
      <c r="E41" s="3">
        <f>SUM(E2:E40)</f>
        <v/>
      </c>
      <c r="F41" s="3">
        <f>SUM(F2:F40)</f>
        <v/>
      </c>
      <c r="G41" s="3">
        <f>SUM(G2:G40)</f>
        <v/>
      </c>
      <c r="H41" s="3">
        <f>SUM(H2:H40)</f>
        <v/>
      </c>
      <c r="I41" s="3">
        <f>SUM(I2:I40)</f>
        <v/>
      </c>
      <c r="J41" s="3">
        <f>SUM(J2:J40)</f>
        <v/>
      </c>
      <c r="K41" s="3">
        <f>SUM(K2:K40)</f>
        <v/>
      </c>
      <c r="L41" s="3">
        <f>SUM(L2:L40)</f>
        <v/>
      </c>
      <c r="M41" s="3">
        <f>SUM(M2:M40)</f>
        <v/>
      </c>
      <c r="N41" s="3">
        <f>SUM(B41:M41)</f>
        <v/>
      </c>
      <c r="O41" s="2" t="inlineStr"/>
    </row>
  </sheetData>
  <autoFilter ref="A1:O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2026-07-17T02:04:14Z</dcterms:created>
  <dcterms:modified xsi:type="dcterms:W3CDTF">2026-07-17T02:05:34Z</dcterms:modified>
</cp:coreProperties>
</file>